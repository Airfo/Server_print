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ir\Desktop\210717 Print\Many thread Server 17.07.17\Many thread Server\bin\Debug\"/>
    </mc:Choice>
  </mc:AlternateContent>
  <bookViews>
    <workbookView xWindow="0" yWindow="0" windowWidth="28800" windowHeight="13290"/>
  </bookViews>
  <sheets>
    <sheet name="Лист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O34" i="1" l="1"/>
  <c r="A34" i="1"/>
  <c r="X35" i="1"/>
  <c r="J35" i="1"/>
  <c r="K35" i="1"/>
  <c r="O540" i="1" l="1"/>
  <c r="A540" i="1"/>
  <c r="O529" i="1"/>
  <c r="A529" i="1"/>
  <c r="O518" i="1"/>
  <c r="A518" i="1"/>
  <c r="O507" i="1"/>
  <c r="A507" i="1"/>
  <c r="O496" i="1"/>
  <c r="A496" i="1"/>
  <c r="O485" i="1"/>
  <c r="A485" i="1"/>
  <c r="O474" i="1"/>
  <c r="A474" i="1"/>
  <c r="O463" i="1"/>
  <c r="A463" i="1"/>
  <c r="O452" i="1"/>
  <c r="A452" i="1"/>
  <c r="O441" i="1"/>
  <c r="A441" i="1"/>
  <c r="O430" i="1"/>
  <c r="A430" i="1"/>
  <c r="O419" i="1"/>
  <c r="A419" i="1"/>
  <c r="O408" i="1"/>
  <c r="A408" i="1"/>
  <c r="O397" i="1"/>
  <c r="A397" i="1"/>
  <c r="O386" i="1"/>
  <c r="A386" i="1"/>
  <c r="O375" i="1"/>
  <c r="A375" i="1"/>
  <c r="O364" i="1"/>
  <c r="A364" i="1"/>
  <c r="O353" i="1"/>
  <c r="A353" i="1"/>
  <c r="O342" i="1"/>
  <c r="A342" i="1"/>
  <c r="O331" i="1"/>
  <c r="A331" i="1"/>
  <c r="O320" i="1"/>
  <c r="A320" i="1"/>
  <c r="O309" i="1"/>
  <c r="A309" i="1"/>
  <c r="O298" i="1"/>
  <c r="A298" i="1"/>
  <c r="O287" i="1"/>
  <c r="A287" i="1"/>
  <c r="O276" i="1"/>
  <c r="A276" i="1"/>
  <c r="O265" i="1"/>
  <c r="A265" i="1"/>
  <c r="O254" i="1"/>
  <c r="A254" i="1"/>
  <c r="O243" i="1"/>
  <c r="A243" i="1"/>
  <c r="O232" i="1"/>
  <c r="A232" i="1"/>
  <c r="O221" i="1"/>
  <c r="A221" i="1"/>
  <c r="O210" i="1"/>
  <c r="A210" i="1"/>
  <c r="O199" i="1"/>
  <c r="A199" i="1"/>
  <c r="O188" i="1"/>
  <c r="A188" i="1"/>
  <c r="O177" i="1"/>
  <c r="A177" i="1"/>
  <c r="O166" i="1"/>
  <c r="A166" i="1"/>
  <c r="O155" i="1"/>
  <c r="A155" i="1"/>
  <c r="O144" i="1"/>
  <c r="A144" i="1"/>
  <c r="O133" i="1"/>
  <c r="A133" i="1"/>
  <c r="O122" i="1"/>
  <c r="A122" i="1"/>
  <c r="O111" i="1"/>
  <c r="A111" i="1"/>
  <c r="O100" i="1"/>
  <c r="A100" i="1"/>
  <c r="O89" i="1"/>
  <c r="A89" i="1"/>
  <c r="O78" i="1"/>
  <c r="A78" i="1"/>
  <c r="O67" i="1"/>
  <c r="A67" i="1"/>
  <c r="O56" i="1"/>
  <c r="A56" i="1"/>
  <c r="O45" i="1"/>
  <c r="A45" i="1"/>
  <c r="O23" i="1"/>
  <c r="A23" i="1"/>
  <c r="O12" i="1"/>
  <c r="A12" i="1"/>
  <c r="K519" i="1"/>
  <c r="Y519" i="1"/>
  <c r="K486" i="1"/>
  <c r="K442" i="1"/>
  <c r="Y464" i="1"/>
  <c r="Y409" i="1"/>
  <c r="K420" i="1"/>
  <c r="Y376" i="1"/>
  <c r="Y332" i="1"/>
  <c r="K343" i="1"/>
  <c r="Y299" i="1"/>
  <c r="K310" i="1"/>
  <c r="Y266" i="1"/>
  <c r="Y222" i="1"/>
  <c r="K233" i="1"/>
  <c r="K189" i="1"/>
  <c r="Y189" i="1"/>
  <c r="Y156" i="1"/>
  <c r="Y112" i="1"/>
  <c r="K123" i="1"/>
  <c r="K101" i="1"/>
  <c r="K57" i="1"/>
  <c r="K46" i="1"/>
  <c r="K222" i="1"/>
  <c r="Y178" i="1"/>
  <c r="Y145" i="1"/>
  <c r="K112" i="1"/>
  <c r="Y90" i="1"/>
  <c r="K24" i="1"/>
  <c r="K541" i="1"/>
  <c r="Y497" i="1"/>
  <c r="Y453" i="1"/>
  <c r="Y387" i="1"/>
  <c r="Y354" i="1"/>
  <c r="Y321" i="1"/>
  <c r="K288" i="1"/>
  <c r="K255" i="1"/>
  <c r="K167" i="1"/>
  <c r="Y134" i="1"/>
  <c r="Y101" i="1"/>
  <c r="Y57" i="1"/>
  <c r="K13" i="1"/>
  <c r="Y530" i="1"/>
  <c r="K453" i="1"/>
  <c r="K431" i="1"/>
  <c r="Y343" i="1"/>
  <c r="Y310" i="1"/>
  <c r="K277" i="1"/>
  <c r="K244" i="1"/>
  <c r="Y200" i="1"/>
  <c r="Y123" i="1"/>
  <c r="Y68" i="1"/>
  <c r="Y79" i="1"/>
  <c r="Y13" i="1"/>
  <c r="K508" i="1"/>
  <c r="Y508" i="1"/>
  <c r="K475" i="1"/>
  <c r="Y475" i="1"/>
  <c r="Y442" i="1"/>
  <c r="Y398" i="1"/>
  <c r="K409" i="1"/>
  <c r="Y365" i="1"/>
  <c r="K376" i="1"/>
  <c r="K332" i="1"/>
  <c r="Y288" i="1"/>
  <c r="K299" i="1"/>
  <c r="Y255" i="1"/>
  <c r="K266" i="1"/>
  <c r="K178" i="1"/>
  <c r="K156" i="1"/>
  <c r="K90" i="1"/>
  <c r="Y46" i="1"/>
  <c r="K497" i="1"/>
  <c r="K464" i="1"/>
  <c r="Y431" i="1"/>
  <c r="K398" i="1"/>
  <c r="K365" i="1"/>
  <c r="Y277" i="1"/>
  <c r="Y244" i="1"/>
  <c r="K211" i="1"/>
  <c r="Y167" i="1"/>
  <c r="K145" i="1"/>
  <c r="K79" i="1"/>
  <c r="K530" i="1"/>
  <c r="Y541" i="1"/>
  <c r="Y486" i="1"/>
  <c r="Y420" i="1"/>
  <c r="K387" i="1"/>
  <c r="K354" i="1"/>
  <c r="K321" i="1"/>
  <c r="Y233" i="1"/>
  <c r="K200" i="1"/>
  <c r="Y211" i="1"/>
  <c r="K134" i="1"/>
  <c r="K68" i="1"/>
  <c r="Y24" i="1"/>
  <c r="O1" i="1" l="1"/>
  <c r="Y2" i="1"/>
  <c r="K2" i="1"/>
  <c r="A1" i="1" l="1"/>
</calcChain>
</file>

<file path=xl/sharedStrings.xml><?xml version="1.0" encoding="utf-8"?>
<sst xmlns="http://schemas.openxmlformats.org/spreadsheetml/2006/main" count="400" uniqueCount="4">
  <si>
    <t>Код:</t>
  </si>
  <si>
    <t>руб.</t>
  </si>
  <si>
    <t>Ед.:шт.</t>
  </si>
  <si>
    <t>Цена: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</si>
</sst>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  <charset val="204"/>
    </font>
    <font>
      <b/>
      <sz val="28"/>
      <color theme="1"/>
      <name val="Tahoma"/>
      <family val="2"/>
      <charset val="204"/>
    </font>
    <font>
      <b/>
      <sz val="14"/>
      <color theme="1"/>
      <name val="Arial"/>
      <family val="2"/>
      <charset val="204"/>
    </font>
    <font>
      <b/>
      <sz val="9"/>
      <color theme="1"/>
      <name val="Tahoma"/>
      <family val="2"/>
      <charset val="204"/>
    </font>
    <font>
      <sz val="28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dashDot">
        <color auto="1"/>
      </left>
      <right/>
      <top style="dashDot">
        <color auto="1"/>
      </top>
      <bottom/>
      <diagonal/>
    </border>
    <border>
      <left/>
      <right/>
      <top style="dashDot">
        <color auto="1"/>
      </top>
      <bottom/>
      <diagonal/>
    </border>
    <border>
      <left style="dashDot">
        <color auto="1"/>
      </left>
      <right/>
      <top/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1" fillId="0" borderId="2" xfId="0" applyFont="1" applyBorder="1"/>
    <xf numFmtId="0" fontId="5" fillId="0" borderId="2" xfId="0" applyFont="1" applyBorder="1"/>
    <xf numFmtId="0" fontId="0" fillId="0" borderId="6" xfId="0" applyBorder="1"/>
    <xf numFmtId="0" fontId="0" fillId="0" borderId="7" xfId="0" applyBorder="1"/>
    <xf numFmtId="0" fontId="0" fillId="0" borderId="0" xfId="0" applyNumberFormat="1" applyBorder="1"/>
    <xf numFmtId="3" fontId="1" fillId="0" borderId="2" xfId="0" applyNumberFormat="1" applyFont="1" applyBorder="1" applyAlignment="1">
      <alignment horizontal="center"/>
    </xf>
    <xf numFmtId="0" fontId="3" fillId="0" borderId="3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14" fontId="1" fillId="0" borderId="1" xfId="0" applyNumberFormat="1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24848</xdr:colOff>
      <xdr:row>8</xdr:row>
      <xdr:rowOff>1</xdr:rowOff>
    </xdr:from>
    <xdr:to>
      <xdr:col>13</xdr:col>
      <xdr:colOff>186773</xdr:colOff>
      <xdr:row>10</xdr:row>
      <xdr:rowOff>19051</xdr:rowOff>
    </xdr:to>
    <xdr:grpSp>
      <xdr:nvGrpSpPr>
        <xdr:cNvPr id="491" name="BC$K$2#GR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GrpSpPr/>
      </xdr:nvGrpSpPr>
      <xdr:grpSpPr>
        <a:xfrm>
          <a:off x="2653748" y="1457326"/>
          <a:ext cx="381000" cy="381000"/>
          <a:chOff x="0" y="0"/>
          <a:chExt cx="381000" cy="381000"/>
        </a:xfrm>
      </xdr:grpSpPr>
      <xdr:grpSp>
        <xdr:nvGrpSpPr>
          <xdr:cNvPr id="489" name="BC$K$2#GR">
            <a:extLst>
              <a:ext uri="{FF2B5EF4-FFF2-40B4-BE49-F238E27FC236}">
                <a16:creationId xmlns:a16="http://schemas.microsoft.com/office/drawing/2014/main" id="{00000000-0008-0000-0000-0000E901000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487" name="BC$K$2#GR">
              <a:extLst>
                <a:ext uri="{FF2B5EF4-FFF2-40B4-BE49-F238E27FC236}">
                  <a16:creationId xmlns:a16="http://schemas.microsoft.com/office/drawing/2014/main" id="{00000000-0008-0000-0000-0000E7010000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485" name="BC$K$2#GR">
                <a:extLst>
                  <a:ext uri="{FF2B5EF4-FFF2-40B4-BE49-F238E27FC236}">
                    <a16:creationId xmlns:a16="http://schemas.microsoft.com/office/drawing/2014/main" id="{00000000-0008-0000-0000-0000E501000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483" name="BC$K$2#GR">
                  <a:extLst>
                    <a:ext uri="{FF2B5EF4-FFF2-40B4-BE49-F238E27FC236}">
                      <a16:creationId xmlns:a16="http://schemas.microsoft.com/office/drawing/2014/main" id="{00000000-0008-0000-0000-0000E301000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481" name="BC$K$2#GR">
                    <a:extLst>
                      <a:ext uri="{FF2B5EF4-FFF2-40B4-BE49-F238E27FC236}">
                        <a16:creationId xmlns:a16="http://schemas.microsoft.com/office/drawing/2014/main" id="{00000000-0008-0000-0000-0000E101000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479" name="BC$K$2#GR">
                      <a:extLst>
                        <a:ext uri="{FF2B5EF4-FFF2-40B4-BE49-F238E27FC236}">
                          <a16:creationId xmlns:a16="http://schemas.microsoft.com/office/drawing/2014/main" id="{00000000-0008-0000-0000-0000DF01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477" name="BC$K$2#GR">
                        <a:extLst>
                          <a:ext uri="{FF2B5EF4-FFF2-40B4-BE49-F238E27FC236}">
                            <a16:creationId xmlns:a16="http://schemas.microsoft.com/office/drawing/2014/main" id="{00000000-0008-0000-0000-0000D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475" name="BC$K$2#GR">
                          <a:extLst>
                            <a:ext uri="{FF2B5EF4-FFF2-40B4-BE49-F238E27FC236}">
                              <a16:creationId xmlns:a16="http://schemas.microsoft.com/office/drawing/2014/main" id="{00000000-0008-0000-0000-0000DB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473" name="BC$K$2#GR">
                            <a:extLst>
                              <a:ext uri="{FF2B5EF4-FFF2-40B4-BE49-F238E27FC236}">
                                <a16:creationId xmlns:a16="http://schemas.microsoft.com/office/drawing/2014/main" id="{00000000-0008-0000-0000-0000D9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471" name="BC$K$2#GR">
                              <a:extLst>
                                <a:ext uri="{FF2B5EF4-FFF2-40B4-BE49-F238E27FC236}">
                                  <a16:creationId xmlns:a16="http://schemas.microsoft.com/office/drawing/2014/main" id="{00000000-0008-0000-0000-0000D7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469" name="BC$K$2#GR">
                                <a:extLst>
                                  <a:ext uri="{FF2B5EF4-FFF2-40B4-BE49-F238E27FC236}">
                                    <a16:creationId xmlns:a16="http://schemas.microsoft.com/office/drawing/2014/main" id="{00000000-0008-0000-0000-0000D5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467" name="BC$K$2#GR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D3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465" name="BC$K$2#GR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000-0000D1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463" name="BC$K$2#GR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000-0000C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461" name="BC$K$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000-0000CD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459" name="BC$K$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000-0000CB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457" name="BC$K$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000-0000C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455" name="BC$K$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000-0000C7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453" name="BC$K$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000-0000C5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451" name="BC$K$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000-0000C3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49" name="BC$K$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000-0000C1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47" name="BC$K$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000-0000B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45" name="BC$K$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000-0000BD01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43" name="BC$K$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000-0000BB01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41" name="BC$K$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000-0000B901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39" name="BC$K$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000-0000B701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37" name="BC$K$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000-0000B501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35" name="BC$K$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000-0000B301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33" name="BC$K$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000-0000B101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31" name="BC$K$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000-0000AF01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29" name="BC$K$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0000000-0008-0000-0000-0000AD01000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427" name="BC$K$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0000000-0008-0000-0000-0000AB01000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425" name="BC$K$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0000000-0008-0000-0000-0000A901000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423" name="BC$K$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0000000-0008-0000-0000-0000A701000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421" name="BC$K$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0000000-0008-0000-0000-0000A501000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419" name="BC$K$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0000000-0008-0000-0000-0000A301000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17" name="BC$K$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0000000-0008-0000-0000-0000A101000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15" name="BC$K$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0000000-0008-0000-0000-00009F01000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13" name="BC$K$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0000000-0008-0000-0000-00009D01000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14" name="BC$K$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0000000-0008-0000-0000-00009E01000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16" name="BC$K$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0000000-0008-0000-0000-0000A001000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18" name="BC$K$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0000000-0008-0000-0000-0000A201000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420" name="BC$K$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0000000-0008-0000-0000-0000A401000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422" name="BC$K$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0000000-0008-0000-0000-0000A601000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424" name="BC$K$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0000000-0008-0000-0000-0000A801000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426" name="BC$K$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0000000-0008-0000-0000-0000AA01000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428" name="BC$K$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0000000-0008-0000-0000-0000AC01000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95250" y="9525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30" name="BC$K$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0000000-0008-0000-0000-0000AE01000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27000" y="63500"/>
                                                                        <a:ext cx="6350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32" name="BC$K$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000-0000B001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7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34" name="BC$K$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000-0000B201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36" name="BC$K$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000-0000B401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54000" y="63500"/>
                                                                  <a:ext cx="6350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38" name="BC$K$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000-0000B601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0" y="6350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40" name="BC$K$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000-0000B801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" y="127000"/>
                                                              <a:ext cx="31750" cy="635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442" name="BC$K$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000-0000BA01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63500" y="15875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44" name="BC$K$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000-0000BC01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46" name="BC$K$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000-0000B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48" name="BC$K$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000-0000C0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5400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50" name="BC$K$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000-0000C2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452" name="BC$K$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000-0000C401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454" name="BC$K$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000-0000C6010000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22225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456" name="BC$K$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000-0000C801000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58" name="BC$K$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000-0000CA01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22225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460" name="BC$K$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000-0000CC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54000" y="190500"/>
                                          <a:ext cx="6350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462" name="BC$K$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000-0000CE01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464" name="BC$K$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000-0000D001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466" name="BC$K$2#BR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000-0000D201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68" name="BC$K$2#BR2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D401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70" name="BC$K$2#BR29">
                                <a:extLst>
                                  <a:ext uri="{FF2B5EF4-FFF2-40B4-BE49-F238E27FC236}">
                                    <a16:creationId xmlns:a16="http://schemas.microsoft.com/office/drawing/2014/main" id="{00000000-0008-0000-0000-0000D6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95250" y="2857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72" name="BC$K$2#BR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D8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6350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474" name="BC$K$2#BR31">
                            <a:extLst>
                              <a:ext uri="{FF2B5EF4-FFF2-40B4-BE49-F238E27FC236}">
                                <a16:creationId xmlns:a16="http://schemas.microsoft.com/office/drawing/2014/main" id="{00000000-0008-0000-0000-0000DA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0500" y="28575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476" name="BC$K$2#BR32">
                          <a:extLst>
                            <a:ext uri="{FF2B5EF4-FFF2-40B4-BE49-F238E27FC236}">
                              <a16:creationId xmlns:a16="http://schemas.microsoft.com/office/drawing/2014/main" id="{00000000-0008-0000-0000-0000D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478" name="BC$K$2#BR33">
                        <a:extLst>
                          <a:ext uri="{FF2B5EF4-FFF2-40B4-BE49-F238E27FC236}">
                            <a16:creationId xmlns:a16="http://schemas.microsoft.com/office/drawing/2014/main" id="{00000000-0008-0000-0000-0000D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480" name="BC$K$2#BR34">
                      <a:extLst>
                        <a:ext uri="{FF2B5EF4-FFF2-40B4-BE49-F238E27FC236}">
                          <a16:creationId xmlns:a16="http://schemas.microsoft.com/office/drawing/2014/main" id="{00000000-0008-0000-0000-0000E001000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482" name="BC$K$2#BR35">
                    <a:extLst>
                      <a:ext uri="{FF2B5EF4-FFF2-40B4-BE49-F238E27FC236}">
                        <a16:creationId xmlns:a16="http://schemas.microsoft.com/office/drawing/2014/main" id="{00000000-0008-0000-0000-0000E201000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484" name="BC$K$2#BR36">
                  <a:extLst>
                    <a:ext uri="{FF2B5EF4-FFF2-40B4-BE49-F238E27FC236}">
                      <a16:creationId xmlns:a16="http://schemas.microsoft.com/office/drawing/2014/main" id="{00000000-0008-0000-0000-0000E4010000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486" name="BC$K$2#BR37">
                <a:extLst>
                  <a:ext uri="{FF2B5EF4-FFF2-40B4-BE49-F238E27FC236}">
                    <a16:creationId xmlns:a16="http://schemas.microsoft.com/office/drawing/2014/main" id="{00000000-0008-0000-0000-0000E601000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88" name="BC$K$2#BR38">
              <a:extLst>
                <a:ext uri="{FF2B5EF4-FFF2-40B4-BE49-F238E27FC236}">
                  <a16:creationId xmlns:a16="http://schemas.microsoft.com/office/drawing/2014/main" id="{00000000-0008-0000-0000-0000E801000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90" name="BC$K$2#BR39">
            <a:extLst>
              <a:ext uri="{FF2B5EF4-FFF2-40B4-BE49-F238E27FC236}">
                <a16:creationId xmlns:a16="http://schemas.microsoft.com/office/drawing/2014/main" id="{00000000-0008-0000-0000-0000EA010000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33129</xdr:colOff>
      <xdr:row>8</xdr:row>
      <xdr:rowOff>1244</xdr:rowOff>
    </xdr:from>
    <xdr:to>
      <xdr:col>27</xdr:col>
      <xdr:colOff>195054</xdr:colOff>
      <xdr:row>10</xdr:row>
      <xdr:rowOff>19051</xdr:rowOff>
    </xdr:to>
    <xdr:grpSp>
      <xdr:nvGrpSpPr>
        <xdr:cNvPr id="701" name="BC$Y$2#GR">
          <a:extLst>
            <a:ext uri="{FF2B5EF4-FFF2-40B4-BE49-F238E27FC236}">
              <a16:creationId xmlns:a16="http://schemas.microsoft.com/office/drawing/2014/main" id="{F16B7F90-A47F-4551-AC9F-9065FE02C113}"/>
            </a:ext>
          </a:extLst>
        </xdr:cNvPr>
        <xdr:cNvGrpSpPr/>
      </xdr:nvGrpSpPr>
      <xdr:grpSpPr>
        <a:xfrm>
          <a:off x="5776704" y="1458569"/>
          <a:ext cx="381000" cy="379757"/>
          <a:chOff x="0" y="0"/>
          <a:chExt cx="381000" cy="381000"/>
        </a:xfrm>
      </xdr:grpSpPr>
      <xdr:grpSp>
        <xdr:nvGrpSpPr>
          <xdr:cNvPr id="699" name="BC$Y$2#GR">
            <a:extLst>
              <a:ext uri="{FF2B5EF4-FFF2-40B4-BE49-F238E27FC236}">
                <a16:creationId xmlns:a16="http://schemas.microsoft.com/office/drawing/2014/main" id="{A1CD7529-DD9E-47AE-B693-CB7986CBA1B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97" name="BC$Y$2#GR">
              <a:extLst>
                <a:ext uri="{FF2B5EF4-FFF2-40B4-BE49-F238E27FC236}">
                  <a16:creationId xmlns:a16="http://schemas.microsoft.com/office/drawing/2014/main" id="{7AD9D8E2-D5AC-48BE-B998-5C61A206777F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95" name="BC$Y$2#GR">
                <a:extLst>
                  <a:ext uri="{FF2B5EF4-FFF2-40B4-BE49-F238E27FC236}">
                    <a16:creationId xmlns:a16="http://schemas.microsoft.com/office/drawing/2014/main" id="{5156533A-45D0-45E8-88E6-52531C1430E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93" name="BC$Y$2#GR">
                  <a:extLst>
                    <a:ext uri="{FF2B5EF4-FFF2-40B4-BE49-F238E27FC236}">
                      <a16:creationId xmlns:a16="http://schemas.microsoft.com/office/drawing/2014/main" id="{3D9128A0-76B2-481F-9CCE-AE309679E13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91" name="BC$Y$2#GR">
                    <a:extLst>
                      <a:ext uri="{FF2B5EF4-FFF2-40B4-BE49-F238E27FC236}">
                        <a16:creationId xmlns:a16="http://schemas.microsoft.com/office/drawing/2014/main" id="{37040BC5-536C-47C2-8097-926CD545094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89" name="BC$Y$2#GR">
                      <a:extLst>
                        <a:ext uri="{FF2B5EF4-FFF2-40B4-BE49-F238E27FC236}">
                          <a16:creationId xmlns:a16="http://schemas.microsoft.com/office/drawing/2014/main" id="{B1E71DCF-4C4D-497C-9A41-EE7C145485E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87" name="BC$Y$2#GR">
                        <a:extLst>
                          <a:ext uri="{FF2B5EF4-FFF2-40B4-BE49-F238E27FC236}">
                            <a16:creationId xmlns:a16="http://schemas.microsoft.com/office/drawing/2014/main" id="{164B8C97-4C51-4F48-A2E3-5D5253A5E3A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85" name="BC$Y$2#GR">
                          <a:extLst>
                            <a:ext uri="{FF2B5EF4-FFF2-40B4-BE49-F238E27FC236}">
                              <a16:creationId xmlns:a16="http://schemas.microsoft.com/office/drawing/2014/main" id="{A4F1D9F9-A0BF-4729-828F-24C9C69D5C5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83" name="BC$Y$2#GR">
                            <a:extLst>
                              <a:ext uri="{FF2B5EF4-FFF2-40B4-BE49-F238E27FC236}">
                                <a16:creationId xmlns:a16="http://schemas.microsoft.com/office/drawing/2014/main" id="{17A6E558-BB77-49F9-9508-B2FBD62A607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81" name="BC$Y$2#GR">
                              <a:extLst>
                                <a:ext uri="{FF2B5EF4-FFF2-40B4-BE49-F238E27FC236}">
                                  <a16:creationId xmlns:a16="http://schemas.microsoft.com/office/drawing/2014/main" id="{6FFBEA71-AF3E-475F-A4FA-D4C0ABE6D24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79" name="BC$Y$2#GR">
                                <a:extLst>
                                  <a:ext uri="{FF2B5EF4-FFF2-40B4-BE49-F238E27FC236}">
                                    <a16:creationId xmlns:a16="http://schemas.microsoft.com/office/drawing/2014/main" id="{839CFC5E-8A43-4B85-87C6-EEDF3DA7DC0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77" name="BC$Y$2#GR">
                                  <a:extLst>
                                    <a:ext uri="{FF2B5EF4-FFF2-40B4-BE49-F238E27FC236}">
                                      <a16:creationId xmlns:a16="http://schemas.microsoft.com/office/drawing/2014/main" id="{70E17281-DB1F-49F3-B45E-07143B7E297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75" name="BC$Y$2#GR">
                                    <a:extLst>
                                      <a:ext uri="{FF2B5EF4-FFF2-40B4-BE49-F238E27FC236}">
                                        <a16:creationId xmlns:a16="http://schemas.microsoft.com/office/drawing/2014/main" id="{4D2F6ACE-F89E-49B0-9E40-4050F986236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73" name="BC$Y$2#GR">
                                      <a:extLst>
                                        <a:ext uri="{FF2B5EF4-FFF2-40B4-BE49-F238E27FC236}">
                                          <a16:creationId xmlns:a16="http://schemas.microsoft.com/office/drawing/2014/main" id="{B03AFE23-5ABD-4914-B992-C158B942431E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71" name="BC$Y$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B052F3D-C4F6-4F90-8475-26A63251A21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69" name="BC$Y$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7774900-97F5-4BDA-9DB5-1DFA60E6B124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67" name="BC$Y$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4754D8E-7320-4CB3-AE9D-7CC4D915CD9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65" name="BC$Y$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2481857-30B8-4B3A-9FE9-40EB60173B29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63" name="BC$Y$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9978F7F-AD3E-4229-A5AC-AF928805223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61" name="BC$Y$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875F8C1-0320-49A1-B2FE-20C88DCF8FD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59" name="BC$Y$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66A4FDC-0B4C-4951-9998-9442153AD23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57" name="BC$Y$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CF04D3F-A55B-4688-9AE8-A51E5160E2E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55" name="BC$Y$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35BAD5C-BE8D-4650-BB9D-2CFA88ACDFD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53" name="BC$Y$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373F4F6-0927-45C5-B820-3AC3C9BF58E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12" name="BC$Y$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16BC148-3A62-4DFF-8A27-B55C1066690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10" name="BC$Y$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0A6D977-E7CA-478D-B2B9-CD4943B0F4C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08" name="BC$Y$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54318EE-0529-4D88-B3F1-CAC1FB51F1A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06" name="BC$Y$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5425D69-5B17-4896-9051-EEB2A9997BD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04" name="BC$Y$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88D081E1-844A-4565-99A2-1F540B841DC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02" name="BC$Y$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41F8D69-AF1B-4A7B-A63E-EF4158953B9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00" name="BC$Y$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6946477-CC76-4973-BB4D-A56D7229458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98" name="BC$Y$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0865167-7DAC-45A5-AF1A-236B6FFFF53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96" name="BC$Y$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8528131-BA7B-4DBF-A2A3-67F90D53E39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94" name="BC$Y$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C55A8CD-9FF8-4319-808B-C05B6188F11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92" name="BC$Y$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C7DDEBE-2B1C-47BD-A998-DEFEEAC7D1C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90" name="BC$Y$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A747B4B-DD4D-4F7E-ABB4-2A1828D3CE9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88" name="BC$Y$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31A60A3-A301-44A2-BF9C-1768ED868D2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86" name="BC$Y$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06BE1CB-F9EF-44C3-9406-CD4CE6A6C9A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84" name="BC$Y$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F6BBD1C-F77E-45BC-9097-BC70F696EF04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85" name="BC$Y$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D4C51DA-7C49-4ADE-88AF-669E9F59807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87" name="BC$Y$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94C13A7-5774-4910-81B5-C2300BDC4306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89" name="BC$Y$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91E3C83-7873-43DD-A58F-50BDB5F5045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91" name="BC$Y$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F513A1C-816D-4496-992C-D987084DDBA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93" name="BC$Y$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EA6238C-AA3A-4950-802A-4F957A3C588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95" name="BC$Y$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DC35E16-D170-4C3F-85EE-5450A36F271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97" name="BC$Y$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6868653-0626-49B5-9EC6-3738ADD85C0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99" name="BC$Y$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24A342C-5640-40C0-AD00-582918BC034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58750" y="635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01" name="BC$Y$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C5683B2-6128-47CF-8129-43BD7D12D1D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63500"/>
                                                                        <a:ext cx="31750" cy="6350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03" name="BC$Y$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5DD001E-9440-4B0F-9608-4CC75DC10EC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05" name="BC$Y$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57A7F93-D09D-4341-98D7-3ACDE082EB0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5400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07" name="BC$Y$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2A0A8EC-0525-4184-9C0B-B6ECD688351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09" name="BC$Y$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070D2BD-3B20-48E9-A6DA-144DA7B1D23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11" name="BC$Y$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D78327F-28D7-4C6E-9A04-58A5C8FB347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2700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52" name="BC$Y$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27AC70B-BFF4-45E3-81A2-00907301F86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58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54" name="BC$Y$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DB903AB-6677-4A0A-9D4A-3BFEE2DAD95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90500" y="158750"/>
                                                          <a:ext cx="6350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56" name="BC$Y$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A7BAB7F-E305-4117-890C-A7E1E13C041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58" name="BC$Y$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000071B-D3E9-4887-A6EA-CE785680595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60" name="BC$Y$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34C8FA8A-46AC-4A59-B560-2E108EED291D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62" name="BC$Y$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F47BC84-35A0-4F04-B581-0FBFD2D067B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64" name="BC$Y$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188246E-74B4-4B21-8E43-1F67F653E11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66" name="BC$Y$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6C48C1E-064B-4E57-A3F5-2FA73306F91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68" name="BC$Y$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304C983-DB23-4846-8119-8D352B5E56D8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70" name="BC$Y$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3839E64-2ABC-4700-AA05-6D821AD8976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72" name="BC$Y$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08A600F-ADD3-4B67-BD8F-EBAE11ADFE6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90500" y="1905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74" name="BC$Y$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591F28A3-1567-40A9-B1E4-02C66EA54C8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76" name="BC$Y$2#BR27">
                                    <a:extLst>
                                      <a:ext uri="{FF2B5EF4-FFF2-40B4-BE49-F238E27FC236}">
                                        <a16:creationId xmlns:a16="http://schemas.microsoft.com/office/drawing/2014/main" id="{BA5CF9AC-923A-44BC-9336-B3368D4543D8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78" name="BC$Y$2#BR28">
                                  <a:extLst>
                                    <a:ext uri="{FF2B5EF4-FFF2-40B4-BE49-F238E27FC236}">
                                      <a16:creationId xmlns:a16="http://schemas.microsoft.com/office/drawing/2014/main" id="{60566630-6938-42B3-9508-C2335C7BE32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80" name="BC$Y$2#BR29">
                                <a:extLst>
                                  <a:ext uri="{FF2B5EF4-FFF2-40B4-BE49-F238E27FC236}">
                                    <a16:creationId xmlns:a16="http://schemas.microsoft.com/office/drawing/2014/main" id="{50AB4EC8-3F63-46A0-A9EB-5A12AC9D4D3E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82" name="BC$Y$2#BR30">
                              <a:extLst>
                                <a:ext uri="{FF2B5EF4-FFF2-40B4-BE49-F238E27FC236}">
                                  <a16:creationId xmlns:a16="http://schemas.microsoft.com/office/drawing/2014/main" id="{4D9A45F9-6DF0-4189-9A07-E662C3CDBEF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84" name="BC$Y$2#BR31">
                            <a:extLst>
                              <a:ext uri="{FF2B5EF4-FFF2-40B4-BE49-F238E27FC236}">
                                <a16:creationId xmlns:a16="http://schemas.microsoft.com/office/drawing/2014/main" id="{5228E3AF-7FA6-436E-B0FB-9942FAD4C22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0500" y="254000"/>
                            <a:ext cx="63500" cy="6350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86" name="BC$Y$2#BR32">
                          <a:extLst>
                            <a:ext uri="{FF2B5EF4-FFF2-40B4-BE49-F238E27FC236}">
                              <a16:creationId xmlns:a16="http://schemas.microsoft.com/office/drawing/2014/main" id="{6646F440-9E7E-4759-B1C5-9E7B907949E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88" name="BC$Y$2#BR33">
                        <a:extLst>
                          <a:ext uri="{FF2B5EF4-FFF2-40B4-BE49-F238E27FC236}">
                            <a16:creationId xmlns:a16="http://schemas.microsoft.com/office/drawing/2014/main" id="{BF171213-9C43-429D-91CB-A0333CCDB48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90" name="BC$Y$2#BR34">
                      <a:extLst>
                        <a:ext uri="{FF2B5EF4-FFF2-40B4-BE49-F238E27FC236}">
                          <a16:creationId xmlns:a16="http://schemas.microsoft.com/office/drawing/2014/main" id="{9BC257FF-A0FE-4C02-84B2-1EDEFA9CED48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92" name="BC$Y$2#BR35">
                    <a:extLst>
                      <a:ext uri="{FF2B5EF4-FFF2-40B4-BE49-F238E27FC236}">
                        <a16:creationId xmlns:a16="http://schemas.microsoft.com/office/drawing/2014/main" id="{96E91FBC-BFE5-4BB6-9927-2861AED676F4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94" name="BC$Y$2#BR36">
                  <a:extLst>
                    <a:ext uri="{FF2B5EF4-FFF2-40B4-BE49-F238E27FC236}">
                      <a16:creationId xmlns:a16="http://schemas.microsoft.com/office/drawing/2014/main" id="{F0D0FFC9-5487-46C1-A5AD-534FE5832218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96" name="BC$Y$2#BR37">
                <a:extLst>
                  <a:ext uri="{FF2B5EF4-FFF2-40B4-BE49-F238E27FC236}">
                    <a16:creationId xmlns:a16="http://schemas.microsoft.com/office/drawing/2014/main" id="{DAAAC89F-5287-4ECE-AA6C-AF26EA5945A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98" name="BC$Y$2#BR38">
              <a:extLst>
                <a:ext uri="{FF2B5EF4-FFF2-40B4-BE49-F238E27FC236}">
                  <a16:creationId xmlns:a16="http://schemas.microsoft.com/office/drawing/2014/main" id="{9CFFE300-264B-4D0F-90B4-35E48AE34DFA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00" name="BC$Y$2#BR39">
            <a:extLst>
              <a:ext uri="{FF2B5EF4-FFF2-40B4-BE49-F238E27FC236}">
                <a16:creationId xmlns:a16="http://schemas.microsoft.com/office/drawing/2014/main" id="{57DD3343-B314-498E-A994-68E939CBFB5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19</xdr:row>
      <xdr:rowOff>9525</xdr:rowOff>
    </xdr:from>
    <xdr:to>
      <xdr:col>27</xdr:col>
      <xdr:colOff>200025</xdr:colOff>
      <xdr:row>21</xdr:row>
      <xdr:rowOff>9525</xdr:rowOff>
    </xdr:to>
    <xdr:grpSp>
      <xdr:nvGrpSpPr>
        <xdr:cNvPr id="885" name="BC$Y$13#GR">
          <a:extLst>
            <a:ext uri="{FF2B5EF4-FFF2-40B4-BE49-F238E27FC236}">
              <a16:creationId xmlns:a16="http://schemas.microsoft.com/office/drawing/2014/main" id="{EDE70B91-A331-4B72-91E2-443F0B3A9798}"/>
            </a:ext>
          </a:extLst>
        </xdr:cNvPr>
        <xdr:cNvGrpSpPr/>
      </xdr:nvGrpSpPr>
      <xdr:grpSpPr>
        <a:xfrm>
          <a:off x="5781675" y="3533775"/>
          <a:ext cx="381000" cy="381000"/>
          <a:chOff x="0" y="0"/>
          <a:chExt cx="381000" cy="381000"/>
        </a:xfrm>
      </xdr:grpSpPr>
      <xdr:grpSp>
        <xdr:nvGrpSpPr>
          <xdr:cNvPr id="883" name="BC$Y$13#GR">
            <a:extLst>
              <a:ext uri="{FF2B5EF4-FFF2-40B4-BE49-F238E27FC236}">
                <a16:creationId xmlns:a16="http://schemas.microsoft.com/office/drawing/2014/main" id="{EF1C3536-E9D5-431A-9F21-9DEB669FB54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81" name="BC$Y$13#GR">
              <a:extLst>
                <a:ext uri="{FF2B5EF4-FFF2-40B4-BE49-F238E27FC236}">
                  <a16:creationId xmlns:a16="http://schemas.microsoft.com/office/drawing/2014/main" id="{9928B02B-C0C9-4971-8641-2ECAD3F290CF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79" name="BC$Y$13#GR">
                <a:extLst>
                  <a:ext uri="{FF2B5EF4-FFF2-40B4-BE49-F238E27FC236}">
                    <a16:creationId xmlns:a16="http://schemas.microsoft.com/office/drawing/2014/main" id="{71144BC0-6C69-47E7-8668-14834DBBB8F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77" name="BC$Y$13#GR">
                  <a:extLst>
                    <a:ext uri="{FF2B5EF4-FFF2-40B4-BE49-F238E27FC236}">
                      <a16:creationId xmlns:a16="http://schemas.microsoft.com/office/drawing/2014/main" id="{69A4EBE1-CF78-4FB3-8EFB-656AE3549BB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75" name="BC$Y$13#GR">
                    <a:extLst>
                      <a:ext uri="{FF2B5EF4-FFF2-40B4-BE49-F238E27FC236}">
                        <a16:creationId xmlns:a16="http://schemas.microsoft.com/office/drawing/2014/main" id="{7003D42F-E2BD-4559-8185-474B1482277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73" name="BC$Y$13#GR">
                      <a:extLst>
                        <a:ext uri="{FF2B5EF4-FFF2-40B4-BE49-F238E27FC236}">
                          <a16:creationId xmlns:a16="http://schemas.microsoft.com/office/drawing/2014/main" id="{362EFD43-D39E-4432-BAC6-C35BB62AA10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71" name="BC$Y$13#GR">
                        <a:extLst>
                          <a:ext uri="{FF2B5EF4-FFF2-40B4-BE49-F238E27FC236}">
                            <a16:creationId xmlns:a16="http://schemas.microsoft.com/office/drawing/2014/main" id="{3C104F38-0363-4270-8DEF-0C842B3D470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69" name="BC$Y$13#GR">
                          <a:extLst>
                            <a:ext uri="{FF2B5EF4-FFF2-40B4-BE49-F238E27FC236}">
                              <a16:creationId xmlns:a16="http://schemas.microsoft.com/office/drawing/2014/main" id="{4AB53FF6-5DE1-4B56-A5FB-694FB931D29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67" name="BC$Y$13#GR">
                            <a:extLst>
                              <a:ext uri="{FF2B5EF4-FFF2-40B4-BE49-F238E27FC236}">
                                <a16:creationId xmlns:a16="http://schemas.microsoft.com/office/drawing/2014/main" id="{143C574B-00E5-486E-8E11-F83F003C398B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65" name="BC$Y$13#GR">
                              <a:extLst>
                                <a:ext uri="{FF2B5EF4-FFF2-40B4-BE49-F238E27FC236}">
                                  <a16:creationId xmlns:a16="http://schemas.microsoft.com/office/drawing/2014/main" id="{E64C82EB-9C08-4A0E-B5DB-05BAD446593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63" name="BC$Y$13#GR">
                                <a:extLst>
                                  <a:ext uri="{FF2B5EF4-FFF2-40B4-BE49-F238E27FC236}">
                                    <a16:creationId xmlns:a16="http://schemas.microsoft.com/office/drawing/2014/main" id="{3FB07036-46EA-4191-AC2F-79B7774555A3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61" name="BC$Y$13#GR">
                                  <a:extLst>
                                    <a:ext uri="{FF2B5EF4-FFF2-40B4-BE49-F238E27FC236}">
                                      <a16:creationId xmlns:a16="http://schemas.microsoft.com/office/drawing/2014/main" id="{838FB6F2-8335-4BBB-89BC-6D37ED214FF9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59" name="BC$Y$13#GR">
                                    <a:extLst>
                                      <a:ext uri="{FF2B5EF4-FFF2-40B4-BE49-F238E27FC236}">
                                        <a16:creationId xmlns:a16="http://schemas.microsoft.com/office/drawing/2014/main" id="{2FDC3843-0A4F-46B4-9711-1F2EE1BA22A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57" name="BC$Y$13#GR">
                                      <a:extLst>
                                        <a:ext uri="{FF2B5EF4-FFF2-40B4-BE49-F238E27FC236}">
                                          <a16:creationId xmlns:a16="http://schemas.microsoft.com/office/drawing/2014/main" id="{BFF51B9B-DE4F-48A7-BE17-9F8F040AEB5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55" name="BC$Y$1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A3DCBEE-E87F-436C-9E31-B9767D11663E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53" name="BC$Y$1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E78B9C1-4865-4FB8-BB79-BD1C9428D5D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51" name="BC$Y$1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71CBB3D-4236-4329-BB63-88F504D2160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49" name="BC$Y$1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E17890B-0D0E-4006-B2F0-04DCB622154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47" name="BC$Y$1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638C439-6A39-4B38-84F2-1F688619E4BF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45" name="BC$Y$1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FA4EEE0-1B7F-4EE5-A88E-0A091212F2B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43" name="BC$Y$1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FAFEA87-DBF4-4B1D-ADE4-F50B71C4D45E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41" name="BC$Y$1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801CFE7-6B89-445F-953F-A9D3FDD6CD5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39" name="BC$Y$1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951441F-DEAF-440E-ACE7-6D753E8160C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37" name="BC$Y$1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0AB2F43-4C82-43EE-BE76-2C34FD7EBD6D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35" name="BC$Y$1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61EDBDD-85E3-4FF9-BB6A-98E1BDD6CDC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33" name="BC$Y$1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FF3ED59-3DDA-461E-BFB8-64571105437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31" name="BC$Y$1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C7486C6-D6F4-4B09-967E-4823CC11E84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29" name="BC$Y$1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B2ED3A3-BF25-48DE-A09A-ECE8615864E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27" name="BC$Y$1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6416F8A-8343-4E23-BB66-40090CBAD62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25" name="BC$Y$1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4A694BE-BBA6-4A00-B871-70A1797F0E8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23" name="BC$Y$1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A375D33-BE25-4907-8A5F-B7605326C5A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21" name="BC$Y$1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31FC3FA-2F2D-4328-A796-B882BE76259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19" name="BC$Y$1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89C513F-729C-438D-8606-7964F80203F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17" name="BC$Y$1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694BBA7-CE7F-4C06-BA69-7C9C93354CC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15" name="BC$Y$1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738DC82-9E25-4016-9857-FE4C6C4E938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13" name="BC$Y$1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9F3A550-7F3E-457B-ADB2-31CB391B479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811" name="BC$Y$13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88941D7-CE0E-43A5-A4DA-FBDE8B0D7B7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809" name="BC$Y$13#BK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EC37D14-D76C-4DFC-8E80-FFE9B490FEE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FFFFFF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rgbClr val="FFFFFF"/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810" name="BC$Y$13#BR1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0F384B6-D813-4A6B-BBAA-6DAAD9E9325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317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12" name="BC$Y$13#BR2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26DB535-3C19-4E1B-B44C-DA3FB42F8F6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952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14" name="BC$Y$13#BR3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5E2953A-AF6B-40D0-8524-96F6283E401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1587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16" name="BC$Y$13#BR4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74DEEA3-0C98-40F7-A2AB-9F615352AF7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222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18" name="BC$Y$13#BR5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16ECCB8-3506-49CA-A495-6E2A9479E67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857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20" name="BC$Y$13#BR6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52C2409-D65E-4E8E-BF58-FB9C3A7C507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31750" y="63500"/>
                                                                            <a:ext cx="3175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22" name="BC$Y$13#BR7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15BAFDD-D268-492B-91B1-8E6E881C650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6350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24" name="BC$Y$13#BR8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773E2C1-5803-4832-B18F-BDCFCDB6288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27000" y="63500"/>
                                                                        <a:ext cx="31750" cy="6350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26" name="BC$Y$13#BR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711CC4F-BED9-4C34-98BF-32DE957D0C7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2225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28" name="BC$Y$13#BR10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45479C1-F2BE-4428-B14F-FF371DA45A4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30" name="BC$Y$13#BR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E59FA05-21EE-45EE-91C4-69E876177FF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54000" y="952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32" name="BC$Y$13#BR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2D2F605-B55E-437E-BA4F-D6D72DDBFB1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0" y="6350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34" name="BC$Y$13#BR1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C4B1927-2975-490F-9328-1ABCFB85D75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" y="127000"/>
                                                              <a:ext cx="31750" cy="635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36" name="BC$Y$13#BR14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F1262DF-89F6-447C-8AEF-0D94D4F0C26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6350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38" name="BC$Y$13#BR15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38A5251-4E11-4A87-8441-E199DD8E10F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40" name="BC$Y$13#BR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CCA47ED-72FB-4204-98AE-96284C9CA1A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42" name="BC$Y$13#BR1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56A0835-4C14-4ECD-986F-33E5364471A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5400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44" name="BC$Y$13#BR1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1DBD6FA-699E-4564-B39A-394C6B32A156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85750" y="1587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46" name="BC$Y$13#BR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931802B-D1B6-464A-B558-9878EFFAE3F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48" name="BC$Y$13#BR2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3172CBC-EBC4-4BE1-A80C-3E81F22BB669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50" name="BC$Y$13#BR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E2AA755-20E5-4A79-A1C9-BE775F61C4E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6350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52" name="BC$Y$13#BR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7019B5B-FEC7-4703-8018-64FD3EF1D95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9525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54" name="BC$Y$13#BR2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7737711-61DD-4C20-B3FF-F041A581CFF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56" name="BC$Y$13#BR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3EBFEBA-DDD2-4274-AF88-102BF864679B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90500" y="1905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58" name="BC$Y$13#BR25">
                                      <a:extLst>
                                        <a:ext uri="{FF2B5EF4-FFF2-40B4-BE49-F238E27FC236}">
                                          <a16:creationId xmlns:a16="http://schemas.microsoft.com/office/drawing/2014/main" id="{BF318221-7858-434C-AE98-ED197E17B40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22250" y="22225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60" name="BC$Y$13#BR26">
                                    <a:extLst>
                                      <a:ext uri="{FF2B5EF4-FFF2-40B4-BE49-F238E27FC236}">
                                        <a16:creationId xmlns:a16="http://schemas.microsoft.com/office/drawing/2014/main" id="{CD7ABCE8-D49B-455F-B490-3A34B6C875D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54000" y="222250"/>
                                    <a:ext cx="6350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62" name="BC$Y$13#BR27">
                                  <a:extLst>
                                    <a:ext uri="{FF2B5EF4-FFF2-40B4-BE49-F238E27FC236}">
                                      <a16:creationId xmlns:a16="http://schemas.microsoft.com/office/drawing/2014/main" id="{46A66FA6-AEAC-4EE4-A600-1ABB1CB48CB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0" y="1905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64" name="BC$Y$13#BR28">
                                <a:extLst>
                                  <a:ext uri="{FF2B5EF4-FFF2-40B4-BE49-F238E27FC236}">
                                    <a16:creationId xmlns:a16="http://schemas.microsoft.com/office/drawing/2014/main" id="{1857CE84-265F-4529-9027-5AA0161B53F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1750" y="254000"/>
                                <a:ext cx="31750" cy="6350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66" name="BC$Y$13#BR29">
                              <a:extLst>
                                <a:ext uri="{FF2B5EF4-FFF2-40B4-BE49-F238E27FC236}">
                                  <a16:creationId xmlns:a16="http://schemas.microsoft.com/office/drawing/2014/main" id="{22E77245-F3C3-4757-8EF3-CC934D07A7E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6350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68" name="BC$Y$13#BR30">
                            <a:extLst>
                              <a:ext uri="{FF2B5EF4-FFF2-40B4-BE49-F238E27FC236}">
                                <a16:creationId xmlns:a16="http://schemas.microsoft.com/office/drawing/2014/main" id="{306FB2D2-8F66-4E43-B386-E2D96A59864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05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70" name="BC$Y$13#BR31">
                          <a:extLst>
                            <a:ext uri="{FF2B5EF4-FFF2-40B4-BE49-F238E27FC236}">
                              <a16:creationId xmlns:a16="http://schemas.microsoft.com/office/drawing/2014/main" id="{3B274409-7A5A-4FCD-B889-2D9EB8E0E1F9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2225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72" name="BC$Y$13#BR32">
                        <a:extLst>
                          <a:ext uri="{FF2B5EF4-FFF2-40B4-BE49-F238E27FC236}">
                            <a16:creationId xmlns:a16="http://schemas.microsoft.com/office/drawing/2014/main" id="{2F937D84-B9DB-45B4-9127-3DCF760F44DF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74" name="BC$Y$13#BR33">
                      <a:extLst>
                        <a:ext uri="{FF2B5EF4-FFF2-40B4-BE49-F238E27FC236}">
                          <a16:creationId xmlns:a16="http://schemas.microsoft.com/office/drawing/2014/main" id="{E936D0C7-35AC-4F51-A034-E0A90EB91F8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76" name="BC$Y$13#BR34">
                    <a:extLst>
                      <a:ext uri="{FF2B5EF4-FFF2-40B4-BE49-F238E27FC236}">
                        <a16:creationId xmlns:a16="http://schemas.microsoft.com/office/drawing/2014/main" id="{71D2ED49-24C6-43BB-BE22-407255605C1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78" name="BC$Y$13#BR35">
                  <a:extLst>
                    <a:ext uri="{FF2B5EF4-FFF2-40B4-BE49-F238E27FC236}">
                      <a16:creationId xmlns:a16="http://schemas.microsoft.com/office/drawing/2014/main" id="{E9B70AC3-C25B-4AA1-AB39-EF0594CE20D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80" name="BC$Y$13#BR36">
                <a:extLst>
                  <a:ext uri="{FF2B5EF4-FFF2-40B4-BE49-F238E27FC236}">
                    <a16:creationId xmlns:a16="http://schemas.microsoft.com/office/drawing/2014/main" id="{60D8FB54-523F-4F0B-9BD0-5938DB51A44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82" name="BC$Y$13#BR37">
              <a:extLst>
                <a:ext uri="{FF2B5EF4-FFF2-40B4-BE49-F238E27FC236}">
                  <a16:creationId xmlns:a16="http://schemas.microsoft.com/office/drawing/2014/main" id="{10022000-F2F5-4B91-BEA3-424F59DB236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84" name="BC$Y$13#BR38">
            <a:extLst>
              <a:ext uri="{FF2B5EF4-FFF2-40B4-BE49-F238E27FC236}">
                <a16:creationId xmlns:a16="http://schemas.microsoft.com/office/drawing/2014/main" id="{8C1E5449-6E15-46A9-8033-6DF6BF973F8F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19050</xdr:colOff>
      <xdr:row>19</xdr:row>
      <xdr:rowOff>9525</xdr:rowOff>
    </xdr:from>
    <xdr:to>
      <xdr:col>13</xdr:col>
      <xdr:colOff>180975</xdr:colOff>
      <xdr:row>21</xdr:row>
      <xdr:rowOff>9525</xdr:rowOff>
    </xdr:to>
    <xdr:grpSp>
      <xdr:nvGrpSpPr>
        <xdr:cNvPr id="956" name="BC$K$13#GR">
          <a:extLst>
            <a:ext uri="{FF2B5EF4-FFF2-40B4-BE49-F238E27FC236}">
              <a16:creationId xmlns:a16="http://schemas.microsoft.com/office/drawing/2014/main" id="{4B28A04C-A865-45F0-949D-FAD3EDE5D0FC}"/>
            </a:ext>
          </a:extLst>
        </xdr:cNvPr>
        <xdr:cNvGrpSpPr/>
      </xdr:nvGrpSpPr>
      <xdr:grpSpPr>
        <a:xfrm>
          <a:off x="2647950" y="3533775"/>
          <a:ext cx="381000" cy="381000"/>
          <a:chOff x="0" y="0"/>
          <a:chExt cx="381000" cy="381000"/>
        </a:xfrm>
      </xdr:grpSpPr>
      <xdr:grpSp>
        <xdr:nvGrpSpPr>
          <xdr:cNvPr id="954" name="BC$K$13#GR">
            <a:extLst>
              <a:ext uri="{FF2B5EF4-FFF2-40B4-BE49-F238E27FC236}">
                <a16:creationId xmlns:a16="http://schemas.microsoft.com/office/drawing/2014/main" id="{397BAEBE-84A7-498B-ACAA-2542286AB96F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52" name="BC$K$13#GR">
              <a:extLst>
                <a:ext uri="{FF2B5EF4-FFF2-40B4-BE49-F238E27FC236}">
                  <a16:creationId xmlns:a16="http://schemas.microsoft.com/office/drawing/2014/main" id="{94A287A9-5ECF-4D13-B726-F01606B15664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50" name="BC$K$13#GR">
                <a:extLst>
                  <a:ext uri="{FF2B5EF4-FFF2-40B4-BE49-F238E27FC236}">
                    <a16:creationId xmlns:a16="http://schemas.microsoft.com/office/drawing/2014/main" id="{2F6DD611-AF4A-43B3-ACC3-6B2131B9942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48" name="BC$K$13#GR">
                  <a:extLst>
                    <a:ext uri="{FF2B5EF4-FFF2-40B4-BE49-F238E27FC236}">
                      <a16:creationId xmlns:a16="http://schemas.microsoft.com/office/drawing/2014/main" id="{F2F37C02-6158-41BF-85B5-3A047D6EECA7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46" name="BC$K$13#GR">
                    <a:extLst>
                      <a:ext uri="{FF2B5EF4-FFF2-40B4-BE49-F238E27FC236}">
                        <a16:creationId xmlns:a16="http://schemas.microsoft.com/office/drawing/2014/main" id="{030A1DD1-F994-4AF7-B503-5BD9CABEA89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44" name="BC$K$13#GR">
                      <a:extLst>
                        <a:ext uri="{FF2B5EF4-FFF2-40B4-BE49-F238E27FC236}">
                          <a16:creationId xmlns:a16="http://schemas.microsoft.com/office/drawing/2014/main" id="{B10956F4-30FA-49AD-97BA-89CEB6F95E4B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42" name="BC$K$13#GR">
                        <a:extLst>
                          <a:ext uri="{FF2B5EF4-FFF2-40B4-BE49-F238E27FC236}">
                            <a16:creationId xmlns:a16="http://schemas.microsoft.com/office/drawing/2014/main" id="{17A04932-975E-4DCA-A44C-21E38D18E2F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40" name="BC$K$13#GR">
                          <a:extLst>
                            <a:ext uri="{FF2B5EF4-FFF2-40B4-BE49-F238E27FC236}">
                              <a16:creationId xmlns:a16="http://schemas.microsoft.com/office/drawing/2014/main" id="{F2370804-0C6E-4CEE-8AE0-F2100F46508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38" name="BC$K$13#GR">
                            <a:extLst>
                              <a:ext uri="{FF2B5EF4-FFF2-40B4-BE49-F238E27FC236}">
                                <a16:creationId xmlns:a16="http://schemas.microsoft.com/office/drawing/2014/main" id="{3A02D661-446D-427E-8BFA-76FC8D7A30E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36" name="BC$K$13#GR">
                              <a:extLst>
                                <a:ext uri="{FF2B5EF4-FFF2-40B4-BE49-F238E27FC236}">
                                  <a16:creationId xmlns:a16="http://schemas.microsoft.com/office/drawing/2014/main" id="{9916F567-540B-477F-A142-01DF09F77CB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34" name="BC$K$13#GR">
                                <a:extLst>
                                  <a:ext uri="{FF2B5EF4-FFF2-40B4-BE49-F238E27FC236}">
                                    <a16:creationId xmlns:a16="http://schemas.microsoft.com/office/drawing/2014/main" id="{CDF63163-529B-4CB1-8FAD-36E85E42DD6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32" name="BC$K$13#GR">
                                  <a:extLst>
                                    <a:ext uri="{FF2B5EF4-FFF2-40B4-BE49-F238E27FC236}">
                                      <a16:creationId xmlns:a16="http://schemas.microsoft.com/office/drawing/2014/main" id="{C24F37BB-3C3F-43AF-8C54-8D7DE5227F8D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30" name="BC$K$13#GR">
                                    <a:extLst>
                                      <a:ext uri="{FF2B5EF4-FFF2-40B4-BE49-F238E27FC236}">
                                        <a16:creationId xmlns:a16="http://schemas.microsoft.com/office/drawing/2014/main" id="{FE1B898B-476D-42E2-9F8E-940F4C222331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28" name="BC$K$13#GR">
                                      <a:extLst>
                                        <a:ext uri="{FF2B5EF4-FFF2-40B4-BE49-F238E27FC236}">
                                          <a16:creationId xmlns:a16="http://schemas.microsoft.com/office/drawing/2014/main" id="{539AB10D-8ABB-446D-A409-18BB2CA359C4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26" name="BC$K$1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8648FA6-42CC-4CCF-ABBE-EA303D9AF9C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24" name="BC$K$1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01A14BD-CA64-4EAA-BFCE-3608725975F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22" name="BC$K$1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57AAB54-F921-461C-B1DA-6E3A1693610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20" name="BC$K$1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FC19805-D540-40D4-A2B8-D18A4D5E268F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18" name="BC$K$1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8009BEC-AA6E-4E4B-874F-3DD0DF0CE54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16" name="BC$K$1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7F8AC1B-644F-4BAF-83AB-DE32E1B1EFC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14" name="BC$K$1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9713A0E-3C8F-421D-BB49-2231CCD5E6B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12" name="BC$K$1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128A087-D33B-4E87-A56F-EFDA281D312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10" name="BC$K$1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C3D6EE1-FCB9-4E5D-886E-56DA63060111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08" name="BC$K$1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0123766-8A31-4CE3-A424-62E511994D6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06" name="BC$K$1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586711D9-1F93-4C1A-B944-28D04E06D78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04" name="BC$K$1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6FE1E8F-27A6-49B6-A6FB-67B4F8B25F5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02" name="BC$K$1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7CADE71-9416-46D5-9CA6-88BD34DAB39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00" name="BC$K$1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43FF8A2-C130-47CA-AC44-8798F93028D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98" name="BC$K$1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54EF4FC-9D0B-41BC-A584-1EC073897B5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96" name="BC$K$1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C292483-684D-4FD1-AFF9-C8778C5467B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94" name="BC$K$1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EA7F8B2-BF67-4828-AD03-27BBDE2DCBC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92" name="BC$K$1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255B253-494B-4EC5-897A-A2B8B79E8BF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90" name="BC$K$1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49A66DE-CF3F-48D7-870C-F19203FA389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88" name="BC$K$1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3F3E773-63A5-47CE-885E-E4B95CD1A16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86" name="BC$K$13#BK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8437ABA-3BED-44EE-B470-031B6D54FE9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FFFFFF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rgbClr val="FFFFFF"/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87" name="BC$K$13#BR1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32F9983-16F5-4D27-BB3A-89F0331B937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31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89" name="BC$K$13#BR2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E158837-1575-43DA-80BB-4B073B99B3D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95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91" name="BC$K$13#BR3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CF814C8-DD94-4617-AF3D-6DE34AD56F0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158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93" name="BC$K$13#BR4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B5165E4-AE6B-4F8F-BBBA-82876F4A200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222250" y="3175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95" name="BC$K$13#BR5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9DAE246-80AE-4433-AF07-72D55CD59EE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85750" y="317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97" name="BC$K$13#BR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3886545-253A-4E76-8DE2-18E42FA1BFC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" y="63500"/>
                                                                      <a:ext cx="31750" cy="635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99" name="BC$K$13#BR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1F1E476-E6E0-4EDC-A335-52DD491B2D8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63500" y="9525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01" name="BC$K$13#BR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A0F9A1F-EDF5-472E-A75E-051346B0285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635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03" name="BC$K$13#BR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7B8563F-DE69-49A2-9F2B-C5028A303FE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54000" y="6350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05" name="BC$K$13#BR1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9F0CE6C-AB65-48A1-B80D-AEB6577A5AA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254000" y="952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07" name="BC$K$13#BR1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3E43C5D-C9E3-4EA9-9F20-E5AED8DAB5D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0" y="635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09" name="BC$K$13#BR1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E199EE6-A71D-42E9-B141-3B35E3D150A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31750" y="127000"/>
                                                          <a:ext cx="31750" cy="63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11" name="BC$K$13#BR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B154159-8FAA-45BF-9493-C506E2F9813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63500" y="127000"/>
                                                        <a:ext cx="31750" cy="635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13" name="BC$K$13#BR1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F797818-AEF0-4859-94B2-B7B0EB1FD12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58750" y="1270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15" name="BC$K$13#BR1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9E2B31C-6DC5-428A-8C74-4E34E14A3ECC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190500" y="1587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17" name="BC$K$13#BR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68CD937-8206-48AD-9E00-33B8C2120FAD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2540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19" name="BC$K$13#BR1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4801355-4B66-4ED3-86CE-1834A6F89883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0" y="1270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21" name="BC$K$13#BR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DB90CDC-B86B-49D2-B5AD-E9B89884FFB9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31750" y="190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23" name="BC$K$13#BR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9552CD8-01D3-4100-86F5-B26CEB268B7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9525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25" name="BC$K$13#BR20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4A10729-3DF6-4B5B-9467-B0241EB92DD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27" name="BC$K$13#BR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37D88F4-262D-43E1-851C-FAFFC44EFB6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27000" y="222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29" name="BC$K$13#BR22">
                                      <a:extLst>
                                        <a:ext uri="{FF2B5EF4-FFF2-40B4-BE49-F238E27FC236}">
                                          <a16:creationId xmlns:a16="http://schemas.microsoft.com/office/drawing/2014/main" id="{B3334A32-66C0-4BA5-A935-E17E2A2CF88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19050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31" name="BC$K$13#BR23">
                                    <a:extLst>
                                      <a:ext uri="{FF2B5EF4-FFF2-40B4-BE49-F238E27FC236}">
                                        <a16:creationId xmlns:a16="http://schemas.microsoft.com/office/drawing/2014/main" id="{400CF448-804E-404F-A89D-B612CFC57F7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33" name="BC$K$13#BR24">
                                  <a:extLst>
                                    <a:ext uri="{FF2B5EF4-FFF2-40B4-BE49-F238E27FC236}">
                                      <a16:creationId xmlns:a16="http://schemas.microsoft.com/office/drawing/2014/main" id="{78AC81E9-E082-4DBB-AF68-CD5D5DF87C4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35" name="BC$K$13#BR25">
                                <a:extLst>
                                  <a:ext uri="{FF2B5EF4-FFF2-40B4-BE49-F238E27FC236}">
                                    <a16:creationId xmlns:a16="http://schemas.microsoft.com/office/drawing/2014/main" id="{CBD171F9-FD17-4184-8A04-879F7FAFCBE2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95250" y="254000"/>
                                <a:ext cx="31750" cy="6350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37" name="BC$K$13#BR26">
                              <a:extLst>
                                <a:ext uri="{FF2B5EF4-FFF2-40B4-BE49-F238E27FC236}">
                                  <a16:creationId xmlns:a16="http://schemas.microsoft.com/office/drawing/2014/main" id="{95F0BC62-D002-4374-9635-D3448E5465D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39" name="BC$K$13#BR27">
                            <a:extLst>
                              <a:ext uri="{FF2B5EF4-FFF2-40B4-BE49-F238E27FC236}">
                                <a16:creationId xmlns:a16="http://schemas.microsoft.com/office/drawing/2014/main" id="{6C410AF7-E6F4-4973-A731-4FBF455E1A8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05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41" name="BC$K$13#BR28">
                          <a:extLst>
                            <a:ext uri="{FF2B5EF4-FFF2-40B4-BE49-F238E27FC236}">
                              <a16:creationId xmlns:a16="http://schemas.microsoft.com/office/drawing/2014/main" id="{1992309B-965D-4947-8814-793DEB0E6F6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2225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43" name="BC$K$13#BR29">
                        <a:extLst>
                          <a:ext uri="{FF2B5EF4-FFF2-40B4-BE49-F238E27FC236}">
                            <a16:creationId xmlns:a16="http://schemas.microsoft.com/office/drawing/2014/main" id="{0E0C87AA-DC0B-4EE4-85FF-D9CD83B9D9A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45" name="BC$K$13#BR30">
                      <a:extLst>
                        <a:ext uri="{FF2B5EF4-FFF2-40B4-BE49-F238E27FC236}">
                          <a16:creationId xmlns:a16="http://schemas.microsoft.com/office/drawing/2014/main" id="{E45470BB-485C-4CC8-88BA-1E61E3EFFB4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47" name="BC$K$13#BR31">
                    <a:extLst>
                      <a:ext uri="{FF2B5EF4-FFF2-40B4-BE49-F238E27FC236}">
                        <a16:creationId xmlns:a16="http://schemas.microsoft.com/office/drawing/2014/main" id="{C964FF8A-8B12-4232-9696-CC479548C04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49" name="BC$K$13#BR32">
                  <a:extLst>
                    <a:ext uri="{FF2B5EF4-FFF2-40B4-BE49-F238E27FC236}">
                      <a16:creationId xmlns:a16="http://schemas.microsoft.com/office/drawing/2014/main" id="{C592D15E-B78C-4DA1-A78C-FF9E396BC0F2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51" name="BC$K$13#BR33">
                <a:extLst>
                  <a:ext uri="{FF2B5EF4-FFF2-40B4-BE49-F238E27FC236}">
                    <a16:creationId xmlns:a16="http://schemas.microsoft.com/office/drawing/2014/main" id="{3FBDA121-74AE-478A-B6FA-6A161FC84EC1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53" name="BC$K$13#BR34">
              <a:extLst>
                <a:ext uri="{FF2B5EF4-FFF2-40B4-BE49-F238E27FC236}">
                  <a16:creationId xmlns:a16="http://schemas.microsoft.com/office/drawing/2014/main" id="{FB28EAC2-B60D-4B80-9615-85C6AA91E70B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55" name="BC$K$13#BR35">
            <a:extLst>
              <a:ext uri="{FF2B5EF4-FFF2-40B4-BE49-F238E27FC236}">
                <a16:creationId xmlns:a16="http://schemas.microsoft.com/office/drawing/2014/main" id="{B27C82EE-008D-470A-816B-B752D464A145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52</xdr:row>
      <xdr:rowOff>0</xdr:rowOff>
    </xdr:from>
    <xdr:to>
      <xdr:col>13</xdr:col>
      <xdr:colOff>200025</xdr:colOff>
      <xdr:row>54</xdr:row>
      <xdr:rowOff>0</xdr:rowOff>
    </xdr:to>
    <xdr:grpSp>
      <xdr:nvGrpSpPr>
        <xdr:cNvPr id="1975" name="BC$K$46#GR">
          <a:extLst>
            <a:ext uri="{FF2B5EF4-FFF2-40B4-BE49-F238E27FC236}">
              <a16:creationId xmlns:a16="http://schemas.microsoft.com/office/drawing/2014/main" id="{59CE7A81-29FF-4FD7-976F-53FBC8A68652}"/>
            </a:ext>
          </a:extLst>
        </xdr:cNvPr>
        <xdr:cNvGrpSpPr/>
      </xdr:nvGrpSpPr>
      <xdr:grpSpPr>
        <a:xfrm>
          <a:off x="2667000" y="9810750"/>
          <a:ext cx="381000" cy="381000"/>
          <a:chOff x="0" y="0"/>
          <a:chExt cx="381000" cy="381000"/>
        </a:xfrm>
      </xdr:grpSpPr>
      <xdr:grpSp>
        <xdr:nvGrpSpPr>
          <xdr:cNvPr id="1973" name="BC$K$46#GR">
            <a:extLst>
              <a:ext uri="{FF2B5EF4-FFF2-40B4-BE49-F238E27FC236}">
                <a16:creationId xmlns:a16="http://schemas.microsoft.com/office/drawing/2014/main" id="{E0B6F1D2-0661-4AC4-9965-1B3AF7B7578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971" name="BC$K$46#GR">
              <a:extLst>
                <a:ext uri="{FF2B5EF4-FFF2-40B4-BE49-F238E27FC236}">
                  <a16:creationId xmlns:a16="http://schemas.microsoft.com/office/drawing/2014/main" id="{0B9E9C52-D608-454F-9F02-8B19A04EBB3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969" name="BC$K$46#GR">
                <a:extLst>
                  <a:ext uri="{FF2B5EF4-FFF2-40B4-BE49-F238E27FC236}">
                    <a16:creationId xmlns:a16="http://schemas.microsoft.com/office/drawing/2014/main" id="{9919074A-FC64-4867-B1FF-4DC1C1878E9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967" name="BC$K$46#GR">
                  <a:extLst>
                    <a:ext uri="{FF2B5EF4-FFF2-40B4-BE49-F238E27FC236}">
                      <a16:creationId xmlns:a16="http://schemas.microsoft.com/office/drawing/2014/main" id="{1D3B7259-5EE1-4777-9604-66D2676C79B1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965" name="BC$K$46#GR">
                    <a:extLst>
                      <a:ext uri="{FF2B5EF4-FFF2-40B4-BE49-F238E27FC236}">
                        <a16:creationId xmlns:a16="http://schemas.microsoft.com/office/drawing/2014/main" id="{C9F8ABB2-BD4C-4C49-BF32-3A512AE089B5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963" name="BC$K$46#GR">
                      <a:extLst>
                        <a:ext uri="{FF2B5EF4-FFF2-40B4-BE49-F238E27FC236}">
                          <a16:creationId xmlns:a16="http://schemas.microsoft.com/office/drawing/2014/main" id="{8C086077-8A78-436D-AF24-ABB9821F857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961" name="BC$K$46#GR">
                        <a:extLst>
                          <a:ext uri="{FF2B5EF4-FFF2-40B4-BE49-F238E27FC236}">
                            <a16:creationId xmlns:a16="http://schemas.microsoft.com/office/drawing/2014/main" id="{68C02F31-FEEC-4A59-A36F-A3837A43CCC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959" name="BC$K$46#GR">
                          <a:extLst>
                            <a:ext uri="{FF2B5EF4-FFF2-40B4-BE49-F238E27FC236}">
                              <a16:creationId xmlns:a16="http://schemas.microsoft.com/office/drawing/2014/main" id="{33A17A15-EEBF-4F2D-96E0-34614AA0F3D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957" name="BC$K$46#GR">
                            <a:extLst>
                              <a:ext uri="{FF2B5EF4-FFF2-40B4-BE49-F238E27FC236}">
                                <a16:creationId xmlns:a16="http://schemas.microsoft.com/office/drawing/2014/main" id="{188B27FE-8B64-4C1C-BE33-13D712BD0FE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955" name="BC$K$46#GR">
                              <a:extLst>
                                <a:ext uri="{FF2B5EF4-FFF2-40B4-BE49-F238E27FC236}">
                                  <a16:creationId xmlns:a16="http://schemas.microsoft.com/office/drawing/2014/main" id="{92AAE5C9-858E-465B-82E8-584DFF74F602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953" name="BC$K$46#GR">
                                <a:extLst>
                                  <a:ext uri="{FF2B5EF4-FFF2-40B4-BE49-F238E27FC236}">
                                    <a16:creationId xmlns:a16="http://schemas.microsoft.com/office/drawing/2014/main" id="{F3B982FC-1BFD-43B8-9DF9-F570AEC8748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951" name="BC$K$46#GR">
                                  <a:extLst>
                                    <a:ext uri="{FF2B5EF4-FFF2-40B4-BE49-F238E27FC236}">
                                      <a16:creationId xmlns:a16="http://schemas.microsoft.com/office/drawing/2014/main" id="{613A4B4B-4E9E-49CB-B20B-42A11FB42062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949" name="BC$K$46#GR">
                                    <a:extLst>
                                      <a:ext uri="{FF2B5EF4-FFF2-40B4-BE49-F238E27FC236}">
                                        <a16:creationId xmlns:a16="http://schemas.microsoft.com/office/drawing/2014/main" id="{35AF2928-4C2A-40F1-8253-88E7212A4423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947" name="BC$K$46#GR">
                                      <a:extLst>
                                        <a:ext uri="{FF2B5EF4-FFF2-40B4-BE49-F238E27FC236}">
                                          <a16:creationId xmlns:a16="http://schemas.microsoft.com/office/drawing/2014/main" id="{ED9EAB86-72E9-44FB-9B5E-0217D666F1B6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945" name="BC$K$4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4F5C455-6258-4DC1-87CE-06DD44EF51B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943" name="BC$K$4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54E69F1-2CB9-4005-83E7-B1EAAA5503A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941" name="BC$K$4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43B55FA-C9FF-4BC9-9B91-DE45270C526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939" name="BC$K$4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9A52040-EA3F-4F63-ABCC-AA127DE3572A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937" name="BC$K$4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391DF24-95A9-48EB-8067-218E8F8C1E0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935" name="BC$K$4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EF79514-EB59-4976-AAE6-A88D045A84B6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933" name="BC$K$4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F44718F-4981-4295-9A07-AE7A4F616C3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931" name="BC$K$4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507ACEB-C4B9-4E2E-AE75-663D3EA7E29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929" name="BC$K$4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F024EC1-E893-493A-A8AD-340114315BC9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927" name="BC$K$4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7EF1255-24A8-491C-AA40-9E84E34B0D33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925" name="BC$K$4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499D2FB-4F5D-4445-9785-58E404208FB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923" name="BC$K$4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F288446-BC92-436E-B4B7-E0CD17F2F06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921" name="BC$K$4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B0FF26A-78B7-4AAF-8337-0407D7B9D44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919" name="BC$K$4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B73362F-AD28-4988-8C77-52CCCB43489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917" name="BC$K$4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5FC25E9-FA07-46C3-952B-C581CB9DFC4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915" name="BC$K$4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93B73F9-E9BB-42EF-A439-0065B3519A8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913" name="BC$K$4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AEFAD3D-7430-42EA-B3D1-94D8446EB28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911" name="BC$K$4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614646A-0D9E-4FF3-BC0E-0A58E782150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909" name="BC$K$4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17305E7-66FB-4E9F-9DD6-EFC6A5CD1C5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907" name="BC$K$4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742A1BD-553D-4904-ABCF-2987D6FAD62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905" name="BC$K$4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009C2BB-60DD-4648-AB27-9EF3BAB0D95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903" name="BC$K$4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3A5FB46-E788-4FB3-AEB7-BACA93FF944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901" name="BC$K$46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76ED570-31CE-43D8-8612-0560CF83C81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899" name="BC$K$46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E1BC5C9D-6E84-4189-B144-9B8BAC90A26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1897" name="BC$K$46#GR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0EC709C-D616-4D13-8874-82FB4C2D3C6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  <a:chOff x="0" y="0"/>
                                                                                        <a:chExt cx="381000" cy="3810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1895" name="BC$K$46#GR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F557296D-62F3-43F0-B790-6803903D0F32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381000" cy="381000"/>
                                                                                          <a:chOff x="0" y="0"/>
                                                                                          <a:chExt cx="381000" cy="3810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1893" name="BC$K$46#GR">
                                                                                            <a:extLst>
                                                                                              <a:ext uri="{FF2B5EF4-FFF2-40B4-BE49-F238E27FC236}">
                                                                                                <a16:creationId xmlns:a16="http://schemas.microsoft.com/office/drawing/2014/main" id="{23F24989-15B2-4528-8783-AE692B656ADE}"/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cNvPr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381000" cy="381000"/>
                                                                                            <a:chOff x="0" y="0"/>
                                                                                            <a:chExt cx="381000" cy="3810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891" name="BC$K$46#BK">
                                                                                              <a:extLst>
                                                                                                <a:ext uri="{FF2B5EF4-FFF2-40B4-BE49-F238E27FC236}">
                                                                                                  <a16:creationId xmlns:a16="http://schemas.microsoft.com/office/drawing/2014/main" id="{5FD42409-78D7-4654-97F2-73B156F8D148}"/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cNvPr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381000" cy="38100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rgbClr val="FFFFFF"/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ru-RU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892" name="BC$K$46#BR1">
                                                                                              <a:extLst>
                                                                                                <a:ext uri="{FF2B5EF4-FFF2-40B4-BE49-F238E27FC236}">
                                                                                                  <a16:creationId xmlns:a16="http://schemas.microsoft.com/office/drawing/2014/main" id="{02AD12C7-C60D-4DF8-AC78-BE32CA576040}"/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cNvPr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31750" y="3175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ru-RU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894" name="BC$K$46#BR2">
                                                                                            <a:extLst>
                                                                                              <a:ext uri="{FF2B5EF4-FFF2-40B4-BE49-F238E27FC236}">
                                                                                                <a16:creationId xmlns:a16="http://schemas.microsoft.com/office/drawing/2014/main" id="{29E4FE34-6173-46B7-B244-A335A1B3DD4F}"/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cNvPr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95250" y="3175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ru-RU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1896" name="BC$K$46#BR3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421AAA39-444E-4FAE-A951-851E90E2DAA5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158750" y="317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ru-RU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898" name="BC$K$46#BR4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A13C75A-9760-4701-9801-11AD02E844FF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2222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900" name="BC$K$46#BR5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C838BA13-5563-4AE3-8A83-112FA3CB9B9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2857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902" name="BC$K$46#BR6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18940DC-17A6-42EE-A2D9-F9CB2664784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63500"/>
                                                                                    <a:ext cx="31750" cy="635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904" name="BC$K$46#BR7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CA1D609-3384-4980-93B5-74E0DC44BDA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63500" y="63500"/>
                                                                                  <a:ext cx="31750" cy="6350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906" name="BC$K$46#BR8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DE81338-7051-4AD5-8135-2F3745CC9DC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952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908" name="BC$K$46#BR9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D8D3FBA-8763-46E3-BAF5-ABC177BA435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190500" y="63500"/>
                                                                              <a:ext cx="6350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910" name="BC$K$46#BR10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59B0DC5-ED50-44FA-81A2-429FF7B8B3D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912" name="BC$K$46#BR11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BC5F152-6100-410A-B1A6-063B82B6987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254000" y="9525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914" name="BC$K$46#BR12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B43FD58-C341-4AD3-A10B-A9A47B16EC9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317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916" name="BC$K$46#BR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41B9C47-1D13-413A-90DF-AD627CE3FAC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" y="127000"/>
                                                                      <a:ext cx="31750" cy="635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918" name="BC$K$46#BR14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F2808C2-A378-461A-9A2D-5ECBAA99D05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95250" y="1587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920" name="BC$K$46#BR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D30B580-6311-4551-A878-FCD0EEFB391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7000" y="12700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922" name="BC$K$46#BR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5C96E48-731D-4959-8052-E967FA418C2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58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924" name="BC$K$46#BR1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5239EE1-6B6F-4A27-9919-E732D2BF002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926" name="BC$K$46#BR1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A1B2190-960C-4036-88BF-267E0475DA5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928" name="BC$K$46#BR1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D1528E8-CC3C-4495-8C3B-F3DD69AF78F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930" name="BC$K$46#BR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46898E6-6727-4DD5-9776-631EC28D0BB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32" name="BC$K$46#BR2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94C24BD-4B69-4FD9-B3E7-6FDF5497B27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934" name="BC$K$46#BR2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FEBD6E7-22EA-4C0F-864C-A1A39FC51C6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936" name="BC$K$46#BR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1805C1A-1874-46A6-BB19-F20F3BECA9F8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938" name="BC$K$46#BR2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870269C-7840-4A39-83EA-867F0363962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190500"/>
                                                <a:ext cx="6350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940" name="BC$K$46#BR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42621E3-2212-4880-B9DA-69F76FE5FF7A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905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942" name="BC$K$46#BR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59ED97E-BEF5-4C12-ACC3-0D7AFD9EC975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22225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944" name="BC$K$46#BR2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3F5521E-4D9B-4C41-BEEB-E1F63E2A8D5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54000" y="190500"/>
                                          <a:ext cx="6350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946" name="BC$K$46#BR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2BC58F6-578A-413A-866A-6E527FC0BA3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948" name="BC$K$46#BR29">
                                      <a:extLst>
                                        <a:ext uri="{FF2B5EF4-FFF2-40B4-BE49-F238E27FC236}">
                                          <a16:creationId xmlns:a16="http://schemas.microsoft.com/office/drawing/2014/main" id="{C6DCC928-81B8-4C27-BE7A-7DEE0B49FA6A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950" name="BC$K$46#BR30">
                                    <a:extLst>
                                      <a:ext uri="{FF2B5EF4-FFF2-40B4-BE49-F238E27FC236}">
                                        <a16:creationId xmlns:a16="http://schemas.microsoft.com/office/drawing/2014/main" id="{EE8C5A31-B6A3-4C07-B76A-85BE337B46C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952" name="BC$K$46#BR31">
                                  <a:extLst>
                                    <a:ext uri="{FF2B5EF4-FFF2-40B4-BE49-F238E27FC236}">
                                      <a16:creationId xmlns:a16="http://schemas.microsoft.com/office/drawing/2014/main" id="{B944B6AF-94C0-43DE-86D9-E5B9240345AF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954" name="BC$K$46#BR32">
                                <a:extLst>
                                  <a:ext uri="{FF2B5EF4-FFF2-40B4-BE49-F238E27FC236}">
                                    <a16:creationId xmlns:a16="http://schemas.microsoft.com/office/drawing/2014/main" id="{17B94421-124C-49DB-B06D-FD006495A02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857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956" name="BC$K$46#BR33">
                              <a:extLst>
                                <a:ext uri="{FF2B5EF4-FFF2-40B4-BE49-F238E27FC236}">
                                  <a16:creationId xmlns:a16="http://schemas.microsoft.com/office/drawing/2014/main" id="{07DFE556-CD48-4DFC-B0F9-6C95AC1B7AC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958" name="BC$K$46#BR34">
                            <a:extLst>
                              <a:ext uri="{FF2B5EF4-FFF2-40B4-BE49-F238E27FC236}">
                                <a16:creationId xmlns:a16="http://schemas.microsoft.com/office/drawing/2014/main" id="{9EB3552C-19E7-4736-8B16-53F1FFB16FA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960" name="BC$K$46#BR35">
                          <a:extLst>
                            <a:ext uri="{FF2B5EF4-FFF2-40B4-BE49-F238E27FC236}">
                              <a16:creationId xmlns:a16="http://schemas.microsoft.com/office/drawing/2014/main" id="{178E8A18-8421-448B-9427-BFF9075C392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962" name="BC$K$46#BR36">
                        <a:extLst>
                          <a:ext uri="{FF2B5EF4-FFF2-40B4-BE49-F238E27FC236}">
                            <a16:creationId xmlns:a16="http://schemas.microsoft.com/office/drawing/2014/main" id="{09D18533-8CD0-4BA5-896F-3A4317F7EAA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964" name="BC$K$46#BR37">
                      <a:extLst>
                        <a:ext uri="{FF2B5EF4-FFF2-40B4-BE49-F238E27FC236}">
                          <a16:creationId xmlns:a16="http://schemas.microsoft.com/office/drawing/2014/main" id="{293E4B7D-CEF1-4643-9ED6-3D724BDFA93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966" name="BC$K$46#BR38">
                    <a:extLst>
                      <a:ext uri="{FF2B5EF4-FFF2-40B4-BE49-F238E27FC236}">
                        <a16:creationId xmlns:a16="http://schemas.microsoft.com/office/drawing/2014/main" id="{6B74ACEB-979A-44DC-A857-77FF9E9381E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968" name="BC$K$46#BR39">
                  <a:extLst>
                    <a:ext uri="{FF2B5EF4-FFF2-40B4-BE49-F238E27FC236}">
                      <a16:creationId xmlns:a16="http://schemas.microsoft.com/office/drawing/2014/main" id="{B1D6AE14-F993-4A62-B514-CC804610ACB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970" name="BC$K$46#BR40">
                <a:extLst>
                  <a:ext uri="{FF2B5EF4-FFF2-40B4-BE49-F238E27FC236}">
                    <a16:creationId xmlns:a16="http://schemas.microsoft.com/office/drawing/2014/main" id="{EAF047B6-87DD-443D-84B1-067232DA8A93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972" name="BC$K$46#BR41">
              <a:extLst>
                <a:ext uri="{FF2B5EF4-FFF2-40B4-BE49-F238E27FC236}">
                  <a16:creationId xmlns:a16="http://schemas.microsoft.com/office/drawing/2014/main" id="{764EDD1B-98DB-4B66-BDD5-55735102C759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974" name="BC$K$46#BR42">
            <a:extLst>
              <a:ext uri="{FF2B5EF4-FFF2-40B4-BE49-F238E27FC236}">
                <a16:creationId xmlns:a16="http://schemas.microsoft.com/office/drawing/2014/main" id="{E4BB5368-D41E-4B6B-81EE-72221EA26AE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52</xdr:row>
      <xdr:rowOff>9525</xdr:rowOff>
    </xdr:from>
    <xdr:to>
      <xdr:col>27</xdr:col>
      <xdr:colOff>200025</xdr:colOff>
      <xdr:row>54</xdr:row>
      <xdr:rowOff>9525</xdr:rowOff>
    </xdr:to>
    <xdr:grpSp>
      <xdr:nvGrpSpPr>
        <xdr:cNvPr id="2060" name="BC$Y$46#GR">
          <a:extLst>
            <a:ext uri="{FF2B5EF4-FFF2-40B4-BE49-F238E27FC236}">
              <a16:creationId xmlns:a16="http://schemas.microsoft.com/office/drawing/2014/main" id="{00B642B1-8699-4E29-8EDD-92AF7F96FBB7}"/>
            </a:ext>
          </a:extLst>
        </xdr:cNvPr>
        <xdr:cNvGrpSpPr/>
      </xdr:nvGrpSpPr>
      <xdr:grpSpPr>
        <a:xfrm>
          <a:off x="5781675" y="9820275"/>
          <a:ext cx="381000" cy="381000"/>
          <a:chOff x="0" y="0"/>
          <a:chExt cx="381000" cy="381000"/>
        </a:xfrm>
      </xdr:grpSpPr>
      <xdr:grpSp>
        <xdr:nvGrpSpPr>
          <xdr:cNvPr id="2058" name="BC$Y$46#GR">
            <a:extLst>
              <a:ext uri="{FF2B5EF4-FFF2-40B4-BE49-F238E27FC236}">
                <a16:creationId xmlns:a16="http://schemas.microsoft.com/office/drawing/2014/main" id="{1E0D1BB6-E011-4EC9-8277-D3F9201659C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2056" name="BC$Y$46#GR">
              <a:extLst>
                <a:ext uri="{FF2B5EF4-FFF2-40B4-BE49-F238E27FC236}">
                  <a16:creationId xmlns:a16="http://schemas.microsoft.com/office/drawing/2014/main" id="{541803DB-9BA4-4626-AB14-6DBE89ABC6E6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2054" name="BC$Y$46#GR">
                <a:extLst>
                  <a:ext uri="{FF2B5EF4-FFF2-40B4-BE49-F238E27FC236}">
                    <a16:creationId xmlns:a16="http://schemas.microsoft.com/office/drawing/2014/main" id="{6760A4B1-3137-4935-A10D-614C66F008D9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2052" name="BC$Y$46#GR">
                  <a:extLst>
                    <a:ext uri="{FF2B5EF4-FFF2-40B4-BE49-F238E27FC236}">
                      <a16:creationId xmlns:a16="http://schemas.microsoft.com/office/drawing/2014/main" id="{95B2A9FC-36FC-443B-9FC9-18C069987FC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2050" name="BC$Y$46#GR">
                    <a:extLst>
                      <a:ext uri="{FF2B5EF4-FFF2-40B4-BE49-F238E27FC236}">
                        <a16:creationId xmlns:a16="http://schemas.microsoft.com/office/drawing/2014/main" id="{B78ADC56-8B9E-4FAB-8BCE-4BFE8A507DA2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2048" name="BC$Y$46#GR">
                      <a:extLst>
                        <a:ext uri="{FF2B5EF4-FFF2-40B4-BE49-F238E27FC236}">
                          <a16:creationId xmlns:a16="http://schemas.microsoft.com/office/drawing/2014/main" id="{1C7115E2-E796-49A4-A848-C6C949AF5759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2046" name="BC$Y$46#GR">
                        <a:extLst>
                          <a:ext uri="{FF2B5EF4-FFF2-40B4-BE49-F238E27FC236}">
                            <a16:creationId xmlns:a16="http://schemas.microsoft.com/office/drawing/2014/main" id="{D2340DAF-4B48-4E53-8A01-793EB6F33AE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2044" name="BC$Y$46#GR">
                          <a:extLst>
                            <a:ext uri="{FF2B5EF4-FFF2-40B4-BE49-F238E27FC236}">
                              <a16:creationId xmlns:a16="http://schemas.microsoft.com/office/drawing/2014/main" id="{1546B115-8175-4073-8D3C-6E6B0561FB9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2042" name="BC$Y$46#GR">
                            <a:extLst>
                              <a:ext uri="{FF2B5EF4-FFF2-40B4-BE49-F238E27FC236}">
                                <a16:creationId xmlns:a16="http://schemas.microsoft.com/office/drawing/2014/main" id="{359AF187-113A-4A9C-BFE8-17EE1F69325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2040" name="BC$Y$46#GR">
                              <a:extLst>
                                <a:ext uri="{FF2B5EF4-FFF2-40B4-BE49-F238E27FC236}">
                                  <a16:creationId xmlns:a16="http://schemas.microsoft.com/office/drawing/2014/main" id="{DFEA9828-F1D5-4ED8-8241-8DDDFE1E2851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2038" name="BC$Y$46#GR">
                                <a:extLst>
                                  <a:ext uri="{FF2B5EF4-FFF2-40B4-BE49-F238E27FC236}">
                                    <a16:creationId xmlns:a16="http://schemas.microsoft.com/office/drawing/2014/main" id="{F0A0CA6B-FD37-4B43-8BB5-FFEBD642918A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2036" name="BC$Y$46#GR">
                                  <a:extLst>
                                    <a:ext uri="{FF2B5EF4-FFF2-40B4-BE49-F238E27FC236}">
                                      <a16:creationId xmlns:a16="http://schemas.microsoft.com/office/drawing/2014/main" id="{1F41F0D6-59E5-4704-941E-B362904AA63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2034" name="BC$Y$46#GR">
                                    <a:extLst>
                                      <a:ext uri="{FF2B5EF4-FFF2-40B4-BE49-F238E27FC236}">
                                        <a16:creationId xmlns:a16="http://schemas.microsoft.com/office/drawing/2014/main" id="{0735DD5F-84F6-4A36-97FE-2F18A483348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2032" name="BC$Y$46#GR">
                                      <a:extLst>
                                        <a:ext uri="{FF2B5EF4-FFF2-40B4-BE49-F238E27FC236}">
                                          <a16:creationId xmlns:a16="http://schemas.microsoft.com/office/drawing/2014/main" id="{14EF3B3C-68DF-40F7-A62C-0503A57D548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2030" name="BC$Y$4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40FD0CF-72FE-41CB-88D2-6A938B744739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2028" name="BC$Y$4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65E349E-676F-47C2-821A-FDD7643EB0A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2026" name="BC$Y$4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34F641B-67FE-4196-823E-C93B357986C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24" name="BC$Y$4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A29CAA3-3109-480E-ADD8-E8C65F2DB656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2022" name="BC$Y$4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1F40F8A-6C7F-421B-9486-9DB46A2A643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20" name="BC$Y$4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0604DDD-6735-4E47-8A90-073AFA5F1BB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18" name="BC$Y$4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35FAAA06-69E0-4A3E-8E8D-200B981A59B2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16" name="BC$Y$4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B050A80-0A32-4446-B56D-9976A950D98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14" name="BC$Y$4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57E6A15-221A-4570-8987-120A8F36531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2012" name="BC$Y$4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5E57326-6FE2-4713-9D5F-9FD15C566C3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010" name="BC$Y$4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7407529-CB9D-4B1C-B7E8-1009A183C26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008" name="BC$Y$4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DBC5ABE-A3FC-4A94-BFCE-CBF28DD696D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006" name="BC$Y$4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6BCA732-9555-4F41-A105-484FD491A78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2004" name="BC$Y$4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BB872D9-CDEB-4D33-BA81-DEF13126F27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002" name="BC$Y$4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D2691FB-72EC-48CE-B7EC-DC938361ACD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2000" name="BC$Y$4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760D573-0AA9-4155-9F3B-3C3253D3F3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998" name="BC$Y$4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9CEB19B-9202-4EE9-B02B-090ED471D67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996" name="BC$Y$4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488893F-CB9A-4D06-B0BE-DF85E46D789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994" name="BC$Y$4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9DE82AB-E5E5-4F4B-AA9F-20C48BEA321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992" name="BC$Y$4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844E9A5-84F0-49AA-9E33-6EB1525373C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990" name="BC$Y$4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E8D7BC2-FBCE-46CA-A596-CA05531A09E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988" name="BC$Y$4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4CDAA8D-0D63-4683-8FE0-32B24A0E123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986" name="BC$Y$46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4DED907-EEE4-40A8-970D-809ED00386B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984" name="BC$Y$46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E897C25-DA20-4694-AEB2-8BD61C7FBFE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1982" name="BC$Y$46#GR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251DF46-0CF4-48FA-8DD9-C2F59976395B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  <a:chOff x="0" y="0"/>
                                                                                        <a:chExt cx="381000" cy="3810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1980" name="BC$Y$46#GR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8520DB33-670B-4EA1-8D0F-E47417B42A29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381000" cy="381000"/>
                                                                                          <a:chOff x="0" y="0"/>
                                                                                          <a:chExt cx="381000" cy="3810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1978" name="BC$Y$46#GR">
                                                                                            <a:extLst>
                                                                                              <a:ext uri="{FF2B5EF4-FFF2-40B4-BE49-F238E27FC236}">
                                                                                                <a16:creationId xmlns:a16="http://schemas.microsoft.com/office/drawing/2014/main" id="{ABC270EB-CC6A-4164-8247-F373A2410B22}"/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cNvPr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381000" cy="381000"/>
                                                                                            <a:chOff x="0" y="0"/>
                                                                                            <a:chExt cx="381000" cy="3810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976" name="BC$Y$46#BK">
                                                                                              <a:extLst>
                                                                                                <a:ext uri="{FF2B5EF4-FFF2-40B4-BE49-F238E27FC236}">
                                                                                                  <a16:creationId xmlns:a16="http://schemas.microsoft.com/office/drawing/2014/main" id="{873DF961-FB7D-4E4B-ABAF-13DBF706524E}"/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cNvPr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381000" cy="38100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rgbClr val="FFFFFF"/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ru-RU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977" name="BC$Y$46#BR1">
                                                                                              <a:extLst>
                                                                                                <a:ext uri="{FF2B5EF4-FFF2-40B4-BE49-F238E27FC236}">
                                                                                                  <a16:creationId xmlns:a16="http://schemas.microsoft.com/office/drawing/2014/main" id="{BCC75BAF-9A25-454B-818A-85ED6B016CA8}"/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cNvPr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31750" y="3175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ru-RU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979" name="BC$Y$46#BR2">
                                                                                            <a:extLst>
                                                                                              <a:ext uri="{FF2B5EF4-FFF2-40B4-BE49-F238E27FC236}">
                                                                                                <a16:creationId xmlns:a16="http://schemas.microsoft.com/office/drawing/2014/main" id="{33CD2ACF-1967-4BE8-9571-2ED26A9EBEE1}"/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cNvPr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95250" y="3175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ru-RU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1981" name="BC$Y$46#BR3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6ABAA97A-021F-426B-B24F-E893BD142C61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158750" y="317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ru-RU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983" name="BC$Y$46#BR4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5897231-A026-4F35-B305-AA4EE61D1688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2222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985" name="BC$Y$46#BR5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E56BD08-8FC7-41D3-B84E-76AFA2EEFAEA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2857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987" name="BC$Y$46#BR6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040441C-4C80-4939-BFC5-942B633085D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63500"/>
                                                                                    <a:ext cx="31750" cy="635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989" name="BC$Y$46#BR7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4B739DC-8049-46C1-8EE7-930088CC07F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63500" y="6350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991" name="BC$Y$46#BR8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17F89B8-241A-4432-A628-EB02526996E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95250" y="952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993" name="BC$Y$46#BR9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A3E9F97-4FE2-41AE-BF2E-AB7895A9C81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127000" y="952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995" name="BC$Y$46#BR10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B5966E9-66AC-441F-BD61-95A7463DFD6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190500" y="6350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997" name="BC$Y$46#BR11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9C22198-EAD2-4501-9FCD-089C78D0ACE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9525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999" name="BC$Y$46#BR12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ED55D88-B11C-4233-884A-C17F05E9C1B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8575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2001" name="BC$Y$46#BR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D6CE900-440B-4DE5-BCC0-56A87EA23BC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2003" name="BC$Y$46#BR14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FD26D7E-42D0-433D-921B-6EDC1227485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2005" name="BC$Y$46#BR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6598C47-37F5-4A49-B72E-416B867EAAE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007" name="BC$Y$46#BR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2347378-C9D6-42FC-969A-57D7C4EB90C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952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2009" name="BC$Y$46#BR1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2857265-35A7-4BA1-A725-DEFA0967005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5875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2011" name="BC$Y$46#BR1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CB35A19-CFC5-4190-8488-36777CFD732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5875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2013" name="BC$Y$46#BR1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C2BE9E1-EFB5-422C-85C9-3FFE73C83A1E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905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015" name="BC$Y$46#BR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B4E8F69-13A7-4729-97BA-EF046F10F60D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635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17" name="BC$Y$46#BR2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17D3FA4-B27C-4565-936E-6039FC85438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19" name="BC$Y$46#BR2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D797341-27FC-4FCC-88A0-2B158575A39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" y="1905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21" name="BC$Y$46#BR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F30E43E-4BA1-4EC6-85B2-BC38A4E1138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63500" y="1905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2023" name="BC$Y$46#BR2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B5A630F-B1D7-4966-B60D-29C6B29F8C76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22225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2025" name="BC$Y$46#BR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BD60B05-FC48-4BE8-99B5-2B6972A64A9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2027" name="BC$Y$46#BR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E2135ED-8968-4861-B469-5D3774CA0F2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5875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2029" name="BC$Y$46#BR2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3E6066E-907F-40C2-899C-71CF67787B7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2031" name="BC$Y$46#BR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07A289D-33F2-496A-8062-2F24A37D43B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033" name="BC$Y$46#BR29">
                                      <a:extLst>
                                        <a:ext uri="{FF2B5EF4-FFF2-40B4-BE49-F238E27FC236}">
                                          <a16:creationId xmlns:a16="http://schemas.microsoft.com/office/drawing/2014/main" id="{CDFA3DE8-FA5D-49CA-9B16-4C3BC791A278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035" name="BC$Y$46#BR30">
                                    <a:extLst>
                                      <a:ext uri="{FF2B5EF4-FFF2-40B4-BE49-F238E27FC236}">
                                        <a16:creationId xmlns:a16="http://schemas.microsoft.com/office/drawing/2014/main" id="{D5F7A73F-B47F-4EF9-88B7-009EBD8D85B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2037" name="BC$Y$46#BR31">
                                  <a:extLst>
                                    <a:ext uri="{FF2B5EF4-FFF2-40B4-BE49-F238E27FC236}">
                                      <a16:creationId xmlns:a16="http://schemas.microsoft.com/office/drawing/2014/main" id="{A2C70504-4F33-4157-B987-BF848FE32FD9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2039" name="BC$Y$46#BR32">
                                <a:extLst>
                                  <a:ext uri="{FF2B5EF4-FFF2-40B4-BE49-F238E27FC236}">
                                    <a16:creationId xmlns:a16="http://schemas.microsoft.com/office/drawing/2014/main" id="{B6683DF6-E1CA-4E02-BCDD-A633779D8EEC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041" name="BC$Y$46#BR33">
                              <a:extLst>
                                <a:ext uri="{FF2B5EF4-FFF2-40B4-BE49-F238E27FC236}">
                                  <a16:creationId xmlns:a16="http://schemas.microsoft.com/office/drawing/2014/main" id="{74771FEC-DF6E-40AD-80D2-E4E2510973F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95250" y="28575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043" name="BC$Y$46#BR34">
                            <a:extLst>
                              <a:ext uri="{FF2B5EF4-FFF2-40B4-BE49-F238E27FC236}">
                                <a16:creationId xmlns:a16="http://schemas.microsoft.com/office/drawing/2014/main" id="{8F34F454-E67D-4EE4-B1F0-3D75B50489A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2045" name="BC$Y$46#BR35">
                          <a:extLst>
                            <a:ext uri="{FF2B5EF4-FFF2-40B4-BE49-F238E27FC236}">
                              <a16:creationId xmlns:a16="http://schemas.microsoft.com/office/drawing/2014/main" id="{B8A5FBD2-E869-40FD-BA98-871EFA53EA9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2047" name="BC$Y$46#BR36">
                        <a:extLst>
                          <a:ext uri="{FF2B5EF4-FFF2-40B4-BE49-F238E27FC236}">
                            <a16:creationId xmlns:a16="http://schemas.microsoft.com/office/drawing/2014/main" id="{22E680E8-79F6-485B-A399-10C45C5DF11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2049" name="BC$Y$46#BR37">
                      <a:extLst>
                        <a:ext uri="{FF2B5EF4-FFF2-40B4-BE49-F238E27FC236}">
                          <a16:creationId xmlns:a16="http://schemas.microsoft.com/office/drawing/2014/main" id="{0E3F66B2-5D1B-427B-B026-203FB4D483E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2051" name="BC$Y$46#BR38">
                    <a:extLst>
                      <a:ext uri="{FF2B5EF4-FFF2-40B4-BE49-F238E27FC236}">
                        <a16:creationId xmlns:a16="http://schemas.microsoft.com/office/drawing/2014/main" id="{8AEBF061-06F0-4CFE-85BA-3DF22DF7B7D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2053" name="BC$Y$46#BR39">
                  <a:extLst>
                    <a:ext uri="{FF2B5EF4-FFF2-40B4-BE49-F238E27FC236}">
                      <a16:creationId xmlns:a16="http://schemas.microsoft.com/office/drawing/2014/main" id="{189FEA39-0B6D-49CE-94AE-979D3D1028E9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2055" name="BC$Y$46#BR40">
                <a:extLst>
                  <a:ext uri="{FF2B5EF4-FFF2-40B4-BE49-F238E27FC236}">
                    <a16:creationId xmlns:a16="http://schemas.microsoft.com/office/drawing/2014/main" id="{71B0270B-8361-4C22-B6E6-C811D25FD11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057" name="BC$Y$46#BR41">
              <a:extLst>
                <a:ext uri="{FF2B5EF4-FFF2-40B4-BE49-F238E27FC236}">
                  <a16:creationId xmlns:a16="http://schemas.microsoft.com/office/drawing/2014/main" id="{C389A735-DBC8-4263-936B-CADDD6E2EE5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2059" name="BC$Y$46#BR42">
            <a:extLst>
              <a:ext uri="{FF2B5EF4-FFF2-40B4-BE49-F238E27FC236}">
                <a16:creationId xmlns:a16="http://schemas.microsoft.com/office/drawing/2014/main" id="{3F18499A-B545-4BF6-9251-D1EDFF934E5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28575</xdr:colOff>
      <xdr:row>63</xdr:row>
      <xdr:rowOff>0</xdr:rowOff>
    </xdr:from>
    <xdr:to>
      <xdr:col>13</xdr:col>
      <xdr:colOff>190500</xdr:colOff>
      <xdr:row>65</xdr:row>
      <xdr:rowOff>0</xdr:rowOff>
    </xdr:to>
    <xdr:grpSp>
      <xdr:nvGrpSpPr>
        <xdr:cNvPr id="2935" name="BC$K$57#GR">
          <a:extLst>
            <a:ext uri="{FF2B5EF4-FFF2-40B4-BE49-F238E27FC236}">
              <a16:creationId xmlns:a16="http://schemas.microsoft.com/office/drawing/2014/main" id="{3E9FD9B1-52A0-4457-AFB4-877B499977F1}"/>
            </a:ext>
          </a:extLst>
        </xdr:cNvPr>
        <xdr:cNvGrpSpPr/>
      </xdr:nvGrpSpPr>
      <xdr:grpSpPr>
        <a:xfrm>
          <a:off x="2657475" y="11906250"/>
          <a:ext cx="381000" cy="381000"/>
          <a:chOff x="0" y="0"/>
          <a:chExt cx="381000" cy="381000"/>
        </a:xfrm>
      </xdr:grpSpPr>
      <xdr:grpSp>
        <xdr:nvGrpSpPr>
          <xdr:cNvPr id="2933" name="BC$K$57#GR">
            <a:extLst>
              <a:ext uri="{FF2B5EF4-FFF2-40B4-BE49-F238E27FC236}">
                <a16:creationId xmlns:a16="http://schemas.microsoft.com/office/drawing/2014/main" id="{C24DBE9D-2099-4799-944D-AD15DF320D4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2931" name="BC$K$57#GR">
              <a:extLst>
                <a:ext uri="{FF2B5EF4-FFF2-40B4-BE49-F238E27FC236}">
                  <a16:creationId xmlns:a16="http://schemas.microsoft.com/office/drawing/2014/main" id="{735EE835-8C70-4EF6-A647-72DFB95FFD5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2929" name="BC$K$57#GR">
                <a:extLst>
                  <a:ext uri="{FF2B5EF4-FFF2-40B4-BE49-F238E27FC236}">
                    <a16:creationId xmlns:a16="http://schemas.microsoft.com/office/drawing/2014/main" id="{38D9253E-27F2-4030-AE35-BED263D2AD56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2927" name="BC$K$57#GR">
                  <a:extLst>
                    <a:ext uri="{FF2B5EF4-FFF2-40B4-BE49-F238E27FC236}">
                      <a16:creationId xmlns:a16="http://schemas.microsoft.com/office/drawing/2014/main" id="{021991D2-0F4C-4892-8B8F-05687D46881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2925" name="BC$K$57#GR">
                    <a:extLst>
                      <a:ext uri="{FF2B5EF4-FFF2-40B4-BE49-F238E27FC236}">
                        <a16:creationId xmlns:a16="http://schemas.microsoft.com/office/drawing/2014/main" id="{5FC45230-DB33-4892-9C3D-0AFAA5D50EA2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2923" name="BC$K$57#GR">
                      <a:extLst>
                        <a:ext uri="{FF2B5EF4-FFF2-40B4-BE49-F238E27FC236}">
                          <a16:creationId xmlns:a16="http://schemas.microsoft.com/office/drawing/2014/main" id="{792389EF-769D-4864-9654-214CEF4C1C2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2921" name="BC$K$57#GR">
                        <a:extLst>
                          <a:ext uri="{FF2B5EF4-FFF2-40B4-BE49-F238E27FC236}">
                            <a16:creationId xmlns:a16="http://schemas.microsoft.com/office/drawing/2014/main" id="{7A545CA1-E5E6-427B-AABA-CD458F8B0B6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2919" name="BC$K$57#GR">
                          <a:extLst>
                            <a:ext uri="{FF2B5EF4-FFF2-40B4-BE49-F238E27FC236}">
                              <a16:creationId xmlns:a16="http://schemas.microsoft.com/office/drawing/2014/main" id="{879D00DD-7F7A-456E-BC2D-0A562542AB6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2917" name="BC$K$57#GR">
                            <a:extLst>
                              <a:ext uri="{FF2B5EF4-FFF2-40B4-BE49-F238E27FC236}">
                                <a16:creationId xmlns:a16="http://schemas.microsoft.com/office/drawing/2014/main" id="{762792A1-3584-4D6F-800F-3FD19CC774FB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2915" name="BC$K$57#GR">
                              <a:extLst>
                                <a:ext uri="{FF2B5EF4-FFF2-40B4-BE49-F238E27FC236}">
                                  <a16:creationId xmlns:a16="http://schemas.microsoft.com/office/drawing/2014/main" id="{8534452F-6D1D-4D33-AE4D-CADC4836138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2913" name="BC$K$57#GR">
                                <a:extLst>
                                  <a:ext uri="{FF2B5EF4-FFF2-40B4-BE49-F238E27FC236}">
                                    <a16:creationId xmlns:a16="http://schemas.microsoft.com/office/drawing/2014/main" id="{E8CCCB09-5B93-44F8-880E-102BAEC4ACC5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2911" name="BC$K$57#GR">
                                  <a:extLst>
                                    <a:ext uri="{FF2B5EF4-FFF2-40B4-BE49-F238E27FC236}">
                                      <a16:creationId xmlns:a16="http://schemas.microsoft.com/office/drawing/2014/main" id="{DE4F7C9A-C252-4E65-8461-1A7BC7379EAD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2909" name="BC$K$57#GR">
                                    <a:extLst>
                                      <a:ext uri="{FF2B5EF4-FFF2-40B4-BE49-F238E27FC236}">
                                        <a16:creationId xmlns:a16="http://schemas.microsoft.com/office/drawing/2014/main" id="{79A4ABE5-AC86-49CC-AD46-A377EF084E78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2907" name="BC$K$57#GR">
                                      <a:extLst>
                                        <a:ext uri="{FF2B5EF4-FFF2-40B4-BE49-F238E27FC236}">
                                          <a16:creationId xmlns:a16="http://schemas.microsoft.com/office/drawing/2014/main" id="{505B92D6-AFC6-4FDC-B34D-63116EAEDB2A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2905" name="BC$K$5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5A48109-DA1C-427D-B81E-D45DA547E45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2903" name="BC$K$5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F845CBC-5294-46F7-9397-40C381BF35DD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2901" name="BC$K$5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50116D1-F95B-4587-A4BD-9C4B8264FC24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899" name="BC$K$5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5458397-0312-4B1B-8BB8-75FD15399FE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2897" name="BC$K$5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2E85100-CC49-464A-9E11-30F1B50ADC5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895" name="BC$K$5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CFEE2A1-413E-41BE-9EF9-FD1C5262F9D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893" name="BC$K$5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1669C4A-189D-4CA3-90B1-C83D22A75ADC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891" name="BC$K$5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B200D48-650F-4FA8-BFDE-7BB6046E5CC6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889" name="BC$K$5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9771930-E176-46AF-B898-975C8917CAB5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2887" name="BC$K$5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CA79675-C0A0-4AF5-89F4-0A439BBDE7D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85" name="BC$K$5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BB19A1D-62F7-4A04-93EB-B8AEB84C104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883" name="BC$K$5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578B91D4-402E-4254-8B05-789F009D61D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881" name="BC$K$5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86E43B6-8D2D-417D-82B9-2C947C3B3DD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2879" name="BC$K$5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E83E375-B5B7-4C37-BDF4-D7C476160B6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877" name="BC$K$5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C150E77-0F26-4BC5-8C7B-A2D597C8A41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2875" name="BC$K$5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F5AB5A2-DA28-4C61-8D5D-A0F538BD52E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2873" name="BC$K$5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F923A27-8621-4CD4-A4A4-27C7A19AEF0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2871" name="BC$K$5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D31DB66-23F3-43EC-98CC-9B5859BFCC7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2869" name="BC$K$5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B18957A-85BC-4884-85BB-1959A86EED9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2867" name="BC$K$5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E984EC5-B2C6-4BAA-8F00-0AAC5DB1C8B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2865" name="BC$K$5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B0DE89E-6E5B-4E2B-BF72-6D9C93E543E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2863" name="BC$K$5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DCB1C57-5B5C-4B75-AFBD-C356785AD06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2861" name="BC$K$57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EC16539-051C-4D4A-AEA7-2E2384630A1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2859" name="BC$K$57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505A308-046D-4C90-A8BB-9F8FAAD699E6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2857" name="BC$K$57#GR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10C53027-550F-4E37-A715-196DEEFE367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  <a:chOff x="0" y="0"/>
                                                                                        <a:chExt cx="381000" cy="3810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2855" name="BC$K$57#BK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A7BB10F7-3B06-4D91-955F-20337F9D8725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381000" cy="38100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rgbClr val="FFFFFF"/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ru-RU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2856" name="BC$K$57#BR1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28279497-C90C-42B0-A5E4-ADF6911183CC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1750" y="317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ru-RU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2858" name="BC$K$57#BR2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E28D2391-A9DD-4A69-A294-C2B9A6FBC9F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952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2860" name="BC$K$57#BR3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C945E834-0B78-4191-A509-315B47334C0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1587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2862" name="BC$K$57#BR4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DD6C308-C5E9-4E7C-ABE4-1E5AC16B319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2222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2864" name="BC$K$57#BR5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6980913-F254-4483-A1D2-7F1C1B81618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857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2866" name="BC$K$57#BR6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167465E-22A6-4DD9-B1EF-18B3144C7A5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31750" y="63500"/>
                                                                                <a:ext cx="31750" cy="6350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2868" name="BC$K$57#BR7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722CC2F-40B2-4145-82E6-77E7AF46D66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63500" y="6350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2870" name="BC$K$57#BR8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322212B-C961-498A-BFBC-FEBD08D1F9A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190500" y="63500"/>
                                                                            <a:ext cx="3175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2872" name="BC$K$57#BR9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DAEBE72-41C2-4B61-8F99-8AB5F5DCEC8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285750" y="635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2874" name="BC$K$57#BR10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5F85015-157F-4AE2-AD45-2B6528E8F7F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2876" name="BC$K$57#BR1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0255F07-948F-4844-AD2E-F2BE9114270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2878" name="BC$K$57#BR12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A9B6AD0-E8CA-4C21-8EF4-F0D22C6147B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2880" name="BC$K$57#BR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895B473-2212-4D5D-8C52-D866E011E1D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7000" y="12700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882" name="BC$K$57#BR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4DE0710A-88F5-481F-BE26-5E87A27617A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58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2884" name="BC$K$57#BR1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22A37E4-5A08-494A-99A6-978CBB60E87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22225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2886" name="BC$K$57#BR1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B9CC296-3B18-4F68-AFF9-FDFAB158F1B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2888" name="BC$K$57#BR17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0CF726A-6897-4B42-AF5E-682B21E7E3D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3175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890" name="BC$K$57#BR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EED9B56-7545-4207-9933-0E036C0205C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" y="190500"/>
                                                        <a:ext cx="31750" cy="635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892" name="BC$K$57#BR1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5CC4970-AA0B-418A-BF4C-67C09EC8EB1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95250" y="1905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894" name="BC$K$57#BR2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C2E4674-0163-4ED9-8FF5-DFEA903E2E49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2222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896" name="BC$K$57#BR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D287179-E262-42B4-9061-EC94FC9FA50E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158750" y="1905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2898" name="BC$K$57#BR2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89816F0-9245-4E93-B244-EE30AE0752E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22225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2900" name="BC$K$57#BR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8221DE6-51B7-4DC5-AD2B-4492EE8C975C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9050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2902" name="BC$K$57#BR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78F23AF-4723-4DF2-A2A5-30C656E48F65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22225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2904" name="BC$K$57#BR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0B7E609-B954-49A5-A60D-0A7BAE6CD28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5400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2906" name="BC$K$57#BR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0A8231A-C1C0-4E85-9391-8D2C48933AB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908" name="BC$K$57#BR27">
                                      <a:extLst>
                                        <a:ext uri="{FF2B5EF4-FFF2-40B4-BE49-F238E27FC236}">
                                          <a16:creationId xmlns:a16="http://schemas.microsoft.com/office/drawing/2014/main" id="{A9AC0B69-519E-4CFF-AD8F-1B80D639EBB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910" name="BC$K$57#BR28">
                                    <a:extLst>
                                      <a:ext uri="{FF2B5EF4-FFF2-40B4-BE49-F238E27FC236}">
                                        <a16:creationId xmlns:a16="http://schemas.microsoft.com/office/drawing/2014/main" id="{E592D811-099F-48B1-A989-1B64C7DF76D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2912" name="BC$K$57#BR29">
                                  <a:extLst>
                                    <a:ext uri="{FF2B5EF4-FFF2-40B4-BE49-F238E27FC236}">
                                      <a16:creationId xmlns:a16="http://schemas.microsoft.com/office/drawing/2014/main" id="{7F353F0B-BB61-4EAD-A471-F0E974EE7ED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2914" name="BC$K$57#BR30">
                                <a:extLst>
                                  <a:ext uri="{FF2B5EF4-FFF2-40B4-BE49-F238E27FC236}">
                                    <a16:creationId xmlns:a16="http://schemas.microsoft.com/office/drawing/2014/main" id="{D9D2C918-CFC2-4EBA-BFC5-91A0AF781C7E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8575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916" name="BC$K$57#BR31">
                              <a:extLst>
                                <a:ext uri="{FF2B5EF4-FFF2-40B4-BE49-F238E27FC236}">
                                  <a16:creationId xmlns:a16="http://schemas.microsoft.com/office/drawing/2014/main" id="{F996FB22-5B42-4F18-B1E6-A84F9ABF36B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918" name="BC$K$57#BR32">
                            <a:extLst>
                              <a:ext uri="{FF2B5EF4-FFF2-40B4-BE49-F238E27FC236}">
                                <a16:creationId xmlns:a16="http://schemas.microsoft.com/office/drawing/2014/main" id="{E329217C-626B-459A-A840-F8AAAC08E7E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9050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2920" name="BC$K$57#BR33">
                          <a:extLst>
                            <a:ext uri="{FF2B5EF4-FFF2-40B4-BE49-F238E27FC236}">
                              <a16:creationId xmlns:a16="http://schemas.microsoft.com/office/drawing/2014/main" id="{F29762F2-CFAB-4CED-9CF2-881A4CD1695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2922" name="BC$K$57#BR34">
                        <a:extLst>
                          <a:ext uri="{FF2B5EF4-FFF2-40B4-BE49-F238E27FC236}">
                            <a16:creationId xmlns:a16="http://schemas.microsoft.com/office/drawing/2014/main" id="{B59C54FE-1C4E-4AE7-8803-0E306B71863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2924" name="BC$K$57#BR35">
                      <a:extLst>
                        <a:ext uri="{FF2B5EF4-FFF2-40B4-BE49-F238E27FC236}">
                          <a16:creationId xmlns:a16="http://schemas.microsoft.com/office/drawing/2014/main" id="{54662D22-E36D-402C-A927-A5534679CCF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2926" name="BC$K$57#BR36">
                    <a:extLst>
                      <a:ext uri="{FF2B5EF4-FFF2-40B4-BE49-F238E27FC236}">
                        <a16:creationId xmlns:a16="http://schemas.microsoft.com/office/drawing/2014/main" id="{5BF16590-3397-4124-A2E1-0BE869ABDED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2928" name="BC$K$57#BR37">
                  <a:extLst>
                    <a:ext uri="{FF2B5EF4-FFF2-40B4-BE49-F238E27FC236}">
                      <a16:creationId xmlns:a16="http://schemas.microsoft.com/office/drawing/2014/main" id="{1DF5C7C5-EEAC-4863-82C9-ACD34EE0C6A9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2930" name="BC$K$57#BR38">
                <a:extLst>
                  <a:ext uri="{FF2B5EF4-FFF2-40B4-BE49-F238E27FC236}">
                    <a16:creationId xmlns:a16="http://schemas.microsoft.com/office/drawing/2014/main" id="{6AD558EC-F9A3-4200-9511-1931E56E411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932" name="BC$K$57#BR39">
              <a:extLst>
                <a:ext uri="{FF2B5EF4-FFF2-40B4-BE49-F238E27FC236}">
                  <a16:creationId xmlns:a16="http://schemas.microsoft.com/office/drawing/2014/main" id="{516236FA-D507-4363-95DD-AF2D70A8D8BC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2934" name="BC$K$57#BR40">
            <a:extLst>
              <a:ext uri="{FF2B5EF4-FFF2-40B4-BE49-F238E27FC236}">
                <a16:creationId xmlns:a16="http://schemas.microsoft.com/office/drawing/2014/main" id="{386A4D25-19C6-4B37-AD61-504C1AAD8B3F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19050</xdr:colOff>
      <xdr:row>63</xdr:row>
      <xdr:rowOff>9525</xdr:rowOff>
    </xdr:from>
    <xdr:to>
      <xdr:col>27</xdr:col>
      <xdr:colOff>180975</xdr:colOff>
      <xdr:row>65</xdr:row>
      <xdr:rowOff>9525</xdr:rowOff>
    </xdr:to>
    <xdr:grpSp>
      <xdr:nvGrpSpPr>
        <xdr:cNvPr id="3014" name="BC$Y$57#GR">
          <a:extLst>
            <a:ext uri="{FF2B5EF4-FFF2-40B4-BE49-F238E27FC236}">
              <a16:creationId xmlns:a16="http://schemas.microsoft.com/office/drawing/2014/main" id="{B61E404D-EC81-4153-930C-1CA6AD268AFE}"/>
            </a:ext>
          </a:extLst>
        </xdr:cNvPr>
        <xdr:cNvGrpSpPr/>
      </xdr:nvGrpSpPr>
      <xdr:grpSpPr>
        <a:xfrm>
          <a:off x="5762625" y="11915775"/>
          <a:ext cx="381000" cy="381000"/>
          <a:chOff x="0" y="0"/>
          <a:chExt cx="381000" cy="381000"/>
        </a:xfrm>
      </xdr:grpSpPr>
      <xdr:grpSp>
        <xdr:nvGrpSpPr>
          <xdr:cNvPr id="3012" name="BC$Y$57#GR">
            <a:extLst>
              <a:ext uri="{FF2B5EF4-FFF2-40B4-BE49-F238E27FC236}">
                <a16:creationId xmlns:a16="http://schemas.microsoft.com/office/drawing/2014/main" id="{970E0381-AE76-460A-9655-AB3AA930205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010" name="BC$Y$57#GR">
              <a:extLst>
                <a:ext uri="{FF2B5EF4-FFF2-40B4-BE49-F238E27FC236}">
                  <a16:creationId xmlns:a16="http://schemas.microsoft.com/office/drawing/2014/main" id="{CB64C09E-7718-4DD2-BA93-8E281C8AF67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008" name="BC$Y$57#GR">
                <a:extLst>
                  <a:ext uri="{FF2B5EF4-FFF2-40B4-BE49-F238E27FC236}">
                    <a16:creationId xmlns:a16="http://schemas.microsoft.com/office/drawing/2014/main" id="{086B4786-4025-415D-B2C0-6B46DD17F69B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006" name="BC$Y$57#GR">
                  <a:extLst>
                    <a:ext uri="{FF2B5EF4-FFF2-40B4-BE49-F238E27FC236}">
                      <a16:creationId xmlns:a16="http://schemas.microsoft.com/office/drawing/2014/main" id="{7037BFDE-2CCC-422F-8A70-D3340F54390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004" name="BC$Y$57#GR">
                    <a:extLst>
                      <a:ext uri="{FF2B5EF4-FFF2-40B4-BE49-F238E27FC236}">
                        <a16:creationId xmlns:a16="http://schemas.microsoft.com/office/drawing/2014/main" id="{40BE3171-9332-4969-84E7-1F8F5E55B0AE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002" name="BC$Y$57#GR">
                      <a:extLst>
                        <a:ext uri="{FF2B5EF4-FFF2-40B4-BE49-F238E27FC236}">
                          <a16:creationId xmlns:a16="http://schemas.microsoft.com/office/drawing/2014/main" id="{9704C245-602B-48D3-9690-B3C67E9CF2BF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000" name="BC$Y$57#GR">
                        <a:extLst>
                          <a:ext uri="{FF2B5EF4-FFF2-40B4-BE49-F238E27FC236}">
                            <a16:creationId xmlns:a16="http://schemas.microsoft.com/office/drawing/2014/main" id="{B49D84CC-84A4-484C-83EB-F26A06F2CDF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2998" name="BC$Y$57#GR">
                          <a:extLst>
                            <a:ext uri="{FF2B5EF4-FFF2-40B4-BE49-F238E27FC236}">
                              <a16:creationId xmlns:a16="http://schemas.microsoft.com/office/drawing/2014/main" id="{903615E5-B443-4E84-9239-7F6604EE1DE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2996" name="BC$Y$57#GR">
                            <a:extLst>
                              <a:ext uri="{FF2B5EF4-FFF2-40B4-BE49-F238E27FC236}">
                                <a16:creationId xmlns:a16="http://schemas.microsoft.com/office/drawing/2014/main" id="{D3A2333C-CE63-4A03-89D6-B9B54D9C1F0D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2994" name="BC$Y$57#GR">
                              <a:extLst>
                                <a:ext uri="{FF2B5EF4-FFF2-40B4-BE49-F238E27FC236}">
                                  <a16:creationId xmlns:a16="http://schemas.microsoft.com/office/drawing/2014/main" id="{688AB7A5-21CD-41C0-ADCF-2DF435E1CDA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2992" name="BC$Y$57#GR">
                                <a:extLst>
                                  <a:ext uri="{FF2B5EF4-FFF2-40B4-BE49-F238E27FC236}">
                                    <a16:creationId xmlns:a16="http://schemas.microsoft.com/office/drawing/2014/main" id="{D58567EC-1109-40B2-AED8-B30FE515EC82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2990" name="BC$Y$57#GR">
                                  <a:extLst>
                                    <a:ext uri="{FF2B5EF4-FFF2-40B4-BE49-F238E27FC236}">
                                      <a16:creationId xmlns:a16="http://schemas.microsoft.com/office/drawing/2014/main" id="{B9890FC8-023E-4B5D-89E4-52CF63E76E0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2988" name="BC$Y$57#GR">
                                    <a:extLst>
                                      <a:ext uri="{FF2B5EF4-FFF2-40B4-BE49-F238E27FC236}">
                                        <a16:creationId xmlns:a16="http://schemas.microsoft.com/office/drawing/2014/main" id="{63AC5C39-0345-4F0E-8E4C-B222EC5D35B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2986" name="BC$Y$57#GR">
                                      <a:extLst>
                                        <a:ext uri="{FF2B5EF4-FFF2-40B4-BE49-F238E27FC236}">
                                          <a16:creationId xmlns:a16="http://schemas.microsoft.com/office/drawing/2014/main" id="{BA4C4CE0-1ADD-4237-8A1E-57506CB288CD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2984" name="BC$Y$5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4336AE6-CEA5-43CA-9F62-79EEE595369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2982" name="BC$Y$5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78171F3-AE94-4A45-9CB1-382E98D843BB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2980" name="BC$Y$5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C5921BA-D9B9-431E-8EC1-941A317383B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978" name="BC$Y$5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53ABE2F-A604-4821-A4EA-B7CC6A781F5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2976" name="BC$Y$5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0B6A008-48AE-4CDE-B1A4-DE39DF65733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974" name="BC$Y$5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3C7ABEF-1F73-4871-8B36-C61A55B23F9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972" name="BC$Y$5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2B28790-765F-47B5-8A57-77D7AFAD93A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970" name="BC$Y$5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6C541BC-EB32-4F9A-A471-AF018AF761A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968" name="BC$Y$5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2C38F10-4408-43FE-98E0-445E1FFBCB09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2966" name="BC$Y$5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3C03D05-6B30-40FE-BB12-279A063B1B0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964" name="BC$Y$5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9011640-BBEB-42F0-B1B4-6510D1E2527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62" name="BC$Y$5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37A7D8E-A24C-41BC-9A84-817D5153CB6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960" name="BC$Y$5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818D9F1-2808-4A6A-BF45-F36861B608E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2958" name="BC$Y$5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5693523-5198-414A-A560-1A589917A12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956" name="BC$Y$5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C200568-A76A-4637-A1AF-934F61871C3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2954" name="BC$Y$5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864077F-EBA6-433A-AE9B-737CB60F679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2952" name="BC$Y$5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33154B8-8519-48A9-B113-827B927851F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2950" name="BC$Y$5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BB30525-1789-4F8F-BF4D-6F26C5F584D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2948" name="BC$Y$5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D2EFE69-78A7-4A80-9C1E-CE1C557E0B0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2946" name="BC$Y$5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6E50BA1-B070-4816-A316-629003E2175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2944" name="BC$Y$5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3200D94-9554-4539-9A92-FFDC8B405DA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2942" name="BC$Y$5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BA42349-375D-438F-8697-8C892C7F0FC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2940" name="BC$Y$57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7807E70-6BF5-4E02-A461-8D8BC59A3F7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2938" name="BC$Y$57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3158868-F8D9-46FE-B25B-1B63DD39A3C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2936" name="BC$Y$57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0BE90F6-01E2-4A7A-8742-302FA539D13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2937" name="BC$Y$57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147DC6BF-AEB3-45D9-BA25-3BAC89A25CC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2939" name="BC$Y$57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6F2E9B57-3F4B-4D36-9D51-FEEEA25D7954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2941" name="BC$Y$57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6EC9F36-D88D-405D-A876-1974A6274A6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2943" name="BC$Y$57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C24DDA5-0FBE-40BD-B8A5-4F121DB28EE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2945" name="BC$Y$57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648D29C-3770-454C-87F4-AC8FAE37609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2947" name="BC$Y$57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21B3329-D99D-4F22-BECF-5B481054CB4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2949" name="BC$Y$57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9F7155A-FDD2-476B-9C08-46D62E68C88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2951" name="BC$Y$57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A8917A5-CE76-4513-9BE5-64C8990ED99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2953" name="BC$Y$57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15C8707-C3F0-423A-8D8C-21A326EAD4D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2955" name="BC$Y$57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69CC575-9B3F-4B5F-8720-09F1B8CE72C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2957" name="BC$Y$57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25F873E-2B10-4C00-9004-A92A323ED46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2959" name="BC$Y$57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9D5226E-39C0-4DEE-A62B-23840E5504D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961" name="BC$Y$57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F17C330-4684-4147-9C4F-726B6E7B8EF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2963" name="BC$Y$57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EFD9651-2AC7-45A4-BA28-D7B676C9267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2965" name="BC$Y$57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9DE6102-AEAB-48F6-82FB-6E10FB72C75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2967" name="BC$Y$57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31C7D4B-77F7-43D4-A7BA-6E312872FC15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969" name="BC$Y$57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6713C2-8F45-4EC8-A307-264EEC1217A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971" name="BC$Y$57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06CCB42-FB8D-4634-B41D-70EADADB53F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973" name="BC$Y$57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A461445-2721-430C-BE03-7B2B9687C65D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975" name="BC$Y$57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254C90F-FA19-4151-B7F5-80F7952695D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2977" name="BC$Y$57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BBAEBD2-58F2-418D-9921-99D77F4133CD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2979" name="BC$Y$57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E320726-021D-405E-921E-CEE6F44406C8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2981" name="BC$Y$57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84D85A0-C7D1-41D2-9BC4-0488A4DF26D2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2983" name="BC$Y$57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9FC359D-283B-4CBF-A12E-9C99F85CF7F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2985" name="BC$Y$57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FE3E4EA-C74A-424D-972E-71CEB4297B6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987" name="BC$Y$57#BR26">
                                      <a:extLst>
                                        <a:ext uri="{FF2B5EF4-FFF2-40B4-BE49-F238E27FC236}">
                                          <a16:creationId xmlns:a16="http://schemas.microsoft.com/office/drawing/2014/main" id="{EF3E8E9B-7781-4671-894C-9409FB17061B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989" name="BC$Y$57#BR27">
                                    <a:extLst>
                                      <a:ext uri="{FF2B5EF4-FFF2-40B4-BE49-F238E27FC236}">
                                        <a16:creationId xmlns:a16="http://schemas.microsoft.com/office/drawing/2014/main" id="{3A1F6341-9D1B-4191-B9C5-B2DBCCF1DBE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2991" name="BC$Y$57#BR28">
                                  <a:extLst>
                                    <a:ext uri="{FF2B5EF4-FFF2-40B4-BE49-F238E27FC236}">
                                      <a16:creationId xmlns:a16="http://schemas.microsoft.com/office/drawing/2014/main" id="{4866A96E-83D8-4655-9183-72F21D224CCD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2993" name="BC$Y$57#BR29">
                                <a:extLst>
                                  <a:ext uri="{FF2B5EF4-FFF2-40B4-BE49-F238E27FC236}">
                                    <a16:creationId xmlns:a16="http://schemas.microsoft.com/office/drawing/2014/main" id="{9D88B3DF-D763-4C3A-A8C1-73A3193CE69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995" name="BC$Y$57#BR30">
                              <a:extLst>
                                <a:ext uri="{FF2B5EF4-FFF2-40B4-BE49-F238E27FC236}">
                                  <a16:creationId xmlns:a16="http://schemas.microsoft.com/office/drawing/2014/main" id="{D32D3084-8255-4AD2-A7AE-7C18B0731D5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997" name="BC$Y$57#BR31">
                            <a:extLst>
                              <a:ext uri="{FF2B5EF4-FFF2-40B4-BE49-F238E27FC236}">
                                <a16:creationId xmlns:a16="http://schemas.microsoft.com/office/drawing/2014/main" id="{82AEE7CF-FA5C-41A1-8706-0475B6FA65A1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2999" name="BC$Y$57#BR32">
                          <a:extLst>
                            <a:ext uri="{FF2B5EF4-FFF2-40B4-BE49-F238E27FC236}">
                              <a16:creationId xmlns:a16="http://schemas.microsoft.com/office/drawing/2014/main" id="{9171856A-C242-4391-A1DE-F26FF9A7600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001" name="BC$Y$57#BR33">
                        <a:extLst>
                          <a:ext uri="{FF2B5EF4-FFF2-40B4-BE49-F238E27FC236}">
                            <a16:creationId xmlns:a16="http://schemas.microsoft.com/office/drawing/2014/main" id="{F682A6E4-FD7A-4153-B979-08AFBBBED52F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003" name="BC$Y$57#BR34">
                      <a:extLst>
                        <a:ext uri="{FF2B5EF4-FFF2-40B4-BE49-F238E27FC236}">
                          <a16:creationId xmlns:a16="http://schemas.microsoft.com/office/drawing/2014/main" id="{DF9F50A3-7382-4062-9C72-4D5501C81A68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005" name="BC$Y$57#BR35">
                    <a:extLst>
                      <a:ext uri="{FF2B5EF4-FFF2-40B4-BE49-F238E27FC236}">
                        <a16:creationId xmlns:a16="http://schemas.microsoft.com/office/drawing/2014/main" id="{9DA88106-86AF-438F-AE96-611F7003F8F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007" name="BC$Y$57#BR36">
                  <a:extLst>
                    <a:ext uri="{FF2B5EF4-FFF2-40B4-BE49-F238E27FC236}">
                      <a16:creationId xmlns:a16="http://schemas.microsoft.com/office/drawing/2014/main" id="{4D545B0F-103D-4744-958C-DBB259F5C20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009" name="BC$Y$57#BR37">
                <a:extLst>
                  <a:ext uri="{FF2B5EF4-FFF2-40B4-BE49-F238E27FC236}">
                    <a16:creationId xmlns:a16="http://schemas.microsoft.com/office/drawing/2014/main" id="{F390E3B9-594A-47B9-BC92-ED1048EB014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011" name="BC$Y$57#BR38">
              <a:extLst>
                <a:ext uri="{FF2B5EF4-FFF2-40B4-BE49-F238E27FC236}">
                  <a16:creationId xmlns:a16="http://schemas.microsoft.com/office/drawing/2014/main" id="{A59580E2-9571-4688-B8AE-0769101F1A5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013" name="BC$Y$57#BR39">
            <a:extLst>
              <a:ext uri="{FF2B5EF4-FFF2-40B4-BE49-F238E27FC236}">
                <a16:creationId xmlns:a16="http://schemas.microsoft.com/office/drawing/2014/main" id="{B2B566F1-4D28-420E-96C4-6581DD65F2BC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74</xdr:row>
      <xdr:rowOff>9525</xdr:rowOff>
    </xdr:from>
    <xdr:to>
      <xdr:col>27</xdr:col>
      <xdr:colOff>190500</xdr:colOff>
      <xdr:row>76</xdr:row>
      <xdr:rowOff>9525</xdr:rowOff>
    </xdr:to>
    <xdr:grpSp>
      <xdr:nvGrpSpPr>
        <xdr:cNvPr id="3093" name="BC$Y$68#GR">
          <a:extLst>
            <a:ext uri="{FF2B5EF4-FFF2-40B4-BE49-F238E27FC236}">
              <a16:creationId xmlns:a16="http://schemas.microsoft.com/office/drawing/2014/main" id="{7F4AB871-B1B1-4294-BB9A-6ECC08D59ABA}"/>
            </a:ext>
          </a:extLst>
        </xdr:cNvPr>
        <xdr:cNvGrpSpPr/>
      </xdr:nvGrpSpPr>
      <xdr:grpSpPr>
        <a:xfrm>
          <a:off x="5772150" y="14011275"/>
          <a:ext cx="381000" cy="381000"/>
          <a:chOff x="0" y="0"/>
          <a:chExt cx="381000" cy="381000"/>
        </a:xfrm>
      </xdr:grpSpPr>
      <xdr:grpSp>
        <xdr:nvGrpSpPr>
          <xdr:cNvPr id="3091" name="BC$Y$68#GR">
            <a:extLst>
              <a:ext uri="{FF2B5EF4-FFF2-40B4-BE49-F238E27FC236}">
                <a16:creationId xmlns:a16="http://schemas.microsoft.com/office/drawing/2014/main" id="{2D5E501E-0CBC-4E37-8538-6990C8CE2966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089" name="BC$Y$68#GR">
              <a:extLst>
                <a:ext uri="{FF2B5EF4-FFF2-40B4-BE49-F238E27FC236}">
                  <a16:creationId xmlns:a16="http://schemas.microsoft.com/office/drawing/2014/main" id="{5A7C487B-9C90-4D47-98F3-F3CF5CA2E133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087" name="BC$Y$68#GR">
                <a:extLst>
                  <a:ext uri="{FF2B5EF4-FFF2-40B4-BE49-F238E27FC236}">
                    <a16:creationId xmlns:a16="http://schemas.microsoft.com/office/drawing/2014/main" id="{F2CC7D8E-3789-457C-85E5-1D4E57945F5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085" name="BC$Y$68#GR">
                  <a:extLst>
                    <a:ext uri="{FF2B5EF4-FFF2-40B4-BE49-F238E27FC236}">
                      <a16:creationId xmlns:a16="http://schemas.microsoft.com/office/drawing/2014/main" id="{11864E3A-96B2-4674-8FA7-23D4945F857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083" name="BC$Y$68#GR">
                    <a:extLst>
                      <a:ext uri="{FF2B5EF4-FFF2-40B4-BE49-F238E27FC236}">
                        <a16:creationId xmlns:a16="http://schemas.microsoft.com/office/drawing/2014/main" id="{D684C990-4C18-429D-AA83-90144231F7F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081" name="BC$Y$68#GR">
                      <a:extLst>
                        <a:ext uri="{FF2B5EF4-FFF2-40B4-BE49-F238E27FC236}">
                          <a16:creationId xmlns:a16="http://schemas.microsoft.com/office/drawing/2014/main" id="{A3568848-F9E4-46D1-B62F-E7589AD752CF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079" name="BC$Y$68#GR">
                        <a:extLst>
                          <a:ext uri="{FF2B5EF4-FFF2-40B4-BE49-F238E27FC236}">
                            <a16:creationId xmlns:a16="http://schemas.microsoft.com/office/drawing/2014/main" id="{23C9696A-2F34-41DF-8BAE-A92A70826BF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3077" name="BC$Y$68#GR">
                          <a:extLst>
                            <a:ext uri="{FF2B5EF4-FFF2-40B4-BE49-F238E27FC236}">
                              <a16:creationId xmlns:a16="http://schemas.microsoft.com/office/drawing/2014/main" id="{D5C2C0CD-2903-45B8-907B-BC68E1AF9A2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3075" name="BC$Y$68#GR">
                            <a:extLst>
                              <a:ext uri="{FF2B5EF4-FFF2-40B4-BE49-F238E27FC236}">
                                <a16:creationId xmlns:a16="http://schemas.microsoft.com/office/drawing/2014/main" id="{B58A5436-1911-4B7D-A7A1-A19859F2D5A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3073" name="BC$Y$68#GR">
                              <a:extLst>
                                <a:ext uri="{FF2B5EF4-FFF2-40B4-BE49-F238E27FC236}">
                                  <a16:creationId xmlns:a16="http://schemas.microsoft.com/office/drawing/2014/main" id="{E394F668-911F-4E50-ACC8-80114394719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3071" name="BC$Y$68#GR">
                                <a:extLst>
                                  <a:ext uri="{FF2B5EF4-FFF2-40B4-BE49-F238E27FC236}">
                                    <a16:creationId xmlns:a16="http://schemas.microsoft.com/office/drawing/2014/main" id="{9B52A4F8-06AC-401A-B571-B0893103525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3069" name="BC$Y$68#GR">
                                  <a:extLst>
                                    <a:ext uri="{FF2B5EF4-FFF2-40B4-BE49-F238E27FC236}">
                                      <a16:creationId xmlns:a16="http://schemas.microsoft.com/office/drawing/2014/main" id="{107875C5-E5E6-41A1-96F0-E63014FD92D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3067" name="BC$Y$68#GR">
                                    <a:extLst>
                                      <a:ext uri="{FF2B5EF4-FFF2-40B4-BE49-F238E27FC236}">
                                        <a16:creationId xmlns:a16="http://schemas.microsoft.com/office/drawing/2014/main" id="{9B9D6550-7645-44C9-BA6B-9DD34B6CD8B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3065" name="BC$Y$68#GR">
                                      <a:extLst>
                                        <a:ext uri="{FF2B5EF4-FFF2-40B4-BE49-F238E27FC236}">
                                          <a16:creationId xmlns:a16="http://schemas.microsoft.com/office/drawing/2014/main" id="{3F43D469-A45F-4276-9FCC-44861CE7950E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3063" name="BC$Y$6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EF90C14-7B4F-4F63-9121-BBC9A79979A8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3061" name="BC$Y$6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86B2D68-7ED3-4316-9DE1-B554695461B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3059" name="BC$Y$6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61CACA2-D614-40E8-851D-D8179014146B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3057" name="BC$Y$6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39B3761-D0D8-465D-BC09-5D850272143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3055" name="BC$Y$6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174BC6D-9B83-452B-9437-D6220BBCB54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3053" name="BC$Y$6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FDAC15C-D7A5-4B12-980C-54A57DFE982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3051" name="BC$Y$6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9B0D5D2-C4E5-4447-AF78-2AC496013647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3049" name="BC$Y$6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B6F10D4-0F18-49E4-9148-4D229983C2D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3047" name="BC$Y$6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CE654DD-A19A-4326-B53E-E1F5D72CD13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045" name="BC$Y$6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561FBD4-FC50-4B14-93AA-E942ED21A93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043" name="BC$Y$6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6F32FB7-D912-4005-80DB-CB9510E7ADA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3041" name="BC$Y$6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7730F33-7F1B-4C65-B989-BD262E43D48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3039" name="BC$Y$6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B2AF261-5CC3-4289-B245-B600D5FA89B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3037" name="BC$Y$6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1E7A89C-3CD9-4488-86FA-B7A5042CD70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3035" name="BC$Y$6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5C2B26C-1FC8-4006-89D4-DF6F0395B86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3033" name="BC$Y$6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BCE46C1-0ACC-4E72-9A80-A2F81BD6709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3031" name="BC$Y$6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E70A180-278F-4D75-874C-A9A121CC7AE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029" name="BC$Y$6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8C6B272-9E93-4CBC-A75D-6D9E89CF5DA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027" name="BC$Y$6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1774E2B-8571-4638-ABB3-00045877AF2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025" name="BC$Y$6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AA26062-32E2-4165-9FEA-EF8DB053B2E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023" name="BC$Y$6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A5AD896-6BA0-4857-B12C-980877EADFB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021" name="BC$Y$6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8D55094-63E3-4F8C-9C76-A18096E24F3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019" name="BC$Y$68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8CC2A6C-A040-4BEF-BA0B-0AED0C03380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017" name="BC$Y$68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4F0140A-50CC-435E-8E14-FD0667DC41B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015" name="BC$Y$68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E68D1600-618A-4455-844A-B8CD4A1F1D16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016" name="BC$Y$68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A1561826-86B0-4F80-BB3A-3BFD03055728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018" name="BC$Y$68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30BB6692-F126-4F24-9998-7014B001CDD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020" name="BC$Y$68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E7CD517-31E8-4037-83EC-730792EF8EB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022" name="BC$Y$68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F3B0897-48D5-4E73-A96B-9D8D3AFFF6A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024" name="BC$Y$68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E2A09D0-CF7C-4174-9A90-491C9066FC3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026" name="BC$Y$68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B3EAF5B-967B-4AC1-BBBC-F03F2C61272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028" name="BC$Y$68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B17D7C7-4814-46D8-85C7-CE69B8E9C61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030" name="BC$Y$68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64AC07E-6DDE-4D37-BDF3-7F99EF8FB79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3032" name="BC$Y$68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E4237EF-ED59-4346-8763-E40C76480A2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3034" name="BC$Y$68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3C4425A-FCC4-452B-8ACE-29449931BB4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3036" name="BC$Y$68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13D52A4-7950-40DC-9E5B-77C64172299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3038" name="BC$Y$68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F0BD9A2-5234-462C-A76F-96C1BB5483D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3040" name="BC$Y$68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DCE42D9-F5B5-4914-95B3-3359A821082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3042" name="BC$Y$68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55420B1-F4A1-41FB-899E-5DFD5C1B10A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044" name="BC$Y$68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CD4F206-CE94-4990-AFE3-7142C6919A2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3046" name="BC$Y$68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B1CD075-5347-4B1F-A5EC-5A7045AF0DF2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3048" name="BC$Y$68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C048F14-079B-4012-95BF-3DFBE9F067DA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3050" name="BC$Y$68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B9D78FE-5ADC-441E-A92F-8A3728CA625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3052" name="BC$Y$68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75B3D12-C042-4995-8B7B-B23351491C1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3054" name="BC$Y$68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2F5F66B-D88E-4C9F-89F3-BE8BAE347A6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3056" name="BC$Y$68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A2EF2D2-61BB-41A5-B4C7-2697708634E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3058" name="BC$Y$68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7911121-962D-42A4-8A15-07969FA0FABA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3060" name="BC$Y$68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49295FE-8869-4ABE-B597-69E3EE9349DC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3062" name="BC$Y$68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E758817-2222-4C90-87C7-AC4FB3C16C2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3064" name="BC$Y$68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A578E62-C4E5-42B9-984E-A2F5B7E8427A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3066" name="BC$Y$68#BR26">
                                      <a:extLst>
                                        <a:ext uri="{FF2B5EF4-FFF2-40B4-BE49-F238E27FC236}">
                                          <a16:creationId xmlns:a16="http://schemas.microsoft.com/office/drawing/2014/main" id="{14D36DB7-8311-401C-B21D-BD5D81EB9F9D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3068" name="BC$Y$68#BR27">
                                    <a:extLst>
                                      <a:ext uri="{FF2B5EF4-FFF2-40B4-BE49-F238E27FC236}">
                                        <a16:creationId xmlns:a16="http://schemas.microsoft.com/office/drawing/2014/main" id="{B5F34233-3F49-4BAD-8330-FF5A88162BA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3070" name="BC$Y$68#BR28">
                                  <a:extLst>
                                    <a:ext uri="{FF2B5EF4-FFF2-40B4-BE49-F238E27FC236}">
                                      <a16:creationId xmlns:a16="http://schemas.microsoft.com/office/drawing/2014/main" id="{9F139398-4412-4953-9758-0E4BBCD391BD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3072" name="BC$Y$68#BR29">
                                <a:extLst>
                                  <a:ext uri="{FF2B5EF4-FFF2-40B4-BE49-F238E27FC236}">
                                    <a16:creationId xmlns:a16="http://schemas.microsoft.com/office/drawing/2014/main" id="{D6AA6497-05A1-4701-BBC1-08E4BCF90AC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074" name="BC$Y$68#BR30">
                              <a:extLst>
                                <a:ext uri="{FF2B5EF4-FFF2-40B4-BE49-F238E27FC236}">
                                  <a16:creationId xmlns:a16="http://schemas.microsoft.com/office/drawing/2014/main" id="{41D42F88-75C0-434E-A402-5C44754AA8B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076" name="BC$Y$68#BR31">
                            <a:extLst>
                              <a:ext uri="{FF2B5EF4-FFF2-40B4-BE49-F238E27FC236}">
                                <a16:creationId xmlns:a16="http://schemas.microsoft.com/office/drawing/2014/main" id="{B1B56FB8-0C76-4F23-A95F-6E6CDBD1F8C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3078" name="BC$Y$68#BR32">
                          <a:extLst>
                            <a:ext uri="{FF2B5EF4-FFF2-40B4-BE49-F238E27FC236}">
                              <a16:creationId xmlns:a16="http://schemas.microsoft.com/office/drawing/2014/main" id="{F29C7D9B-C3F1-4BE4-B2F8-B94FDC894D1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080" name="BC$Y$68#BR33">
                        <a:extLst>
                          <a:ext uri="{FF2B5EF4-FFF2-40B4-BE49-F238E27FC236}">
                            <a16:creationId xmlns:a16="http://schemas.microsoft.com/office/drawing/2014/main" id="{C3E5485E-4B37-4C8A-85DA-F5F92B4F5711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082" name="BC$Y$68#BR34">
                      <a:extLst>
                        <a:ext uri="{FF2B5EF4-FFF2-40B4-BE49-F238E27FC236}">
                          <a16:creationId xmlns:a16="http://schemas.microsoft.com/office/drawing/2014/main" id="{47B654EC-D75E-4995-AAE8-819BDA367901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084" name="BC$Y$68#BR35">
                    <a:extLst>
                      <a:ext uri="{FF2B5EF4-FFF2-40B4-BE49-F238E27FC236}">
                        <a16:creationId xmlns:a16="http://schemas.microsoft.com/office/drawing/2014/main" id="{84BC8C0F-A9DD-49CE-827E-ACB396A0062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086" name="BC$Y$68#BR36">
                  <a:extLst>
                    <a:ext uri="{FF2B5EF4-FFF2-40B4-BE49-F238E27FC236}">
                      <a16:creationId xmlns:a16="http://schemas.microsoft.com/office/drawing/2014/main" id="{F5D27A91-3534-44FC-9AE7-B3090D051402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088" name="BC$Y$68#BR37">
                <a:extLst>
                  <a:ext uri="{FF2B5EF4-FFF2-40B4-BE49-F238E27FC236}">
                    <a16:creationId xmlns:a16="http://schemas.microsoft.com/office/drawing/2014/main" id="{76F1FA54-088E-42CA-AC08-6B5BCD5C62E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090" name="BC$Y$68#BR38">
              <a:extLst>
                <a:ext uri="{FF2B5EF4-FFF2-40B4-BE49-F238E27FC236}">
                  <a16:creationId xmlns:a16="http://schemas.microsoft.com/office/drawing/2014/main" id="{1FB881AA-DA80-4056-9E89-569AD185758C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092" name="BC$Y$68#BR39">
            <a:extLst>
              <a:ext uri="{FF2B5EF4-FFF2-40B4-BE49-F238E27FC236}">
                <a16:creationId xmlns:a16="http://schemas.microsoft.com/office/drawing/2014/main" id="{4EED2872-281F-4062-A092-AEAC3199E223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19050</xdr:colOff>
      <xdr:row>74</xdr:row>
      <xdr:rowOff>9525</xdr:rowOff>
    </xdr:from>
    <xdr:to>
      <xdr:col>13</xdr:col>
      <xdr:colOff>180975</xdr:colOff>
      <xdr:row>76</xdr:row>
      <xdr:rowOff>9525</xdr:rowOff>
    </xdr:to>
    <xdr:grpSp>
      <xdr:nvGrpSpPr>
        <xdr:cNvPr id="3172" name="BC$K$68#GR">
          <a:extLst>
            <a:ext uri="{FF2B5EF4-FFF2-40B4-BE49-F238E27FC236}">
              <a16:creationId xmlns:a16="http://schemas.microsoft.com/office/drawing/2014/main" id="{2E9821FA-5BED-4B59-A877-97BC4EC75B48}"/>
            </a:ext>
          </a:extLst>
        </xdr:cNvPr>
        <xdr:cNvGrpSpPr/>
      </xdr:nvGrpSpPr>
      <xdr:grpSpPr>
        <a:xfrm>
          <a:off x="2647950" y="14011275"/>
          <a:ext cx="381000" cy="381000"/>
          <a:chOff x="0" y="0"/>
          <a:chExt cx="381000" cy="381000"/>
        </a:xfrm>
      </xdr:grpSpPr>
      <xdr:grpSp>
        <xdr:nvGrpSpPr>
          <xdr:cNvPr id="3170" name="BC$K$68#GR">
            <a:extLst>
              <a:ext uri="{FF2B5EF4-FFF2-40B4-BE49-F238E27FC236}">
                <a16:creationId xmlns:a16="http://schemas.microsoft.com/office/drawing/2014/main" id="{6EA1A554-BE2E-45D2-ACDD-5B9EF41650B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168" name="BC$K$68#GR">
              <a:extLst>
                <a:ext uri="{FF2B5EF4-FFF2-40B4-BE49-F238E27FC236}">
                  <a16:creationId xmlns:a16="http://schemas.microsoft.com/office/drawing/2014/main" id="{092ABB58-6DD2-4A42-95CD-FDD63BF5FA8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166" name="BC$K$68#GR">
                <a:extLst>
                  <a:ext uri="{FF2B5EF4-FFF2-40B4-BE49-F238E27FC236}">
                    <a16:creationId xmlns:a16="http://schemas.microsoft.com/office/drawing/2014/main" id="{9C6F3B98-9C1F-41B1-90D9-EE31F013CE8B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164" name="BC$K$68#GR">
                  <a:extLst>
                    <a:ext uri="{FF2B5EF4-FFF2-40B4-BE49-F238E27FC236}">
                      <a16:creationId xmlns:a16="http://schemas.microsoft.com/office/drawing/2014/main" id="{BF4E5120-EF8D-4E26-B6A4-383FF74C5EB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162" name="BC$K$68#GR">
                    <a:extLst>
                      <a:ext uri="{FF2B5EF4-FFF2-40B4-BE49-F238E27FC236}">
                        <a16:creationId xmlns:a16="http://schemas.microsoft.com/office/drawing/2014/main" id="{4896A2AE-18BD-42C9-8CD6-2C07F03CEFE6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160" name="BC$K$68#GR">
                      <a:extLst>
                        <a:ext uri="{FF2B5EF4-FFF2-40B4-BE49-F238E27FC236}">
                          <a16:creationId xmlns:a16="http://schemas.microsoft.com/office/drawing/2014/main" id="{D61C4726-55DF-4DD9-8CD5-8E5D3D90EB8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158" name="BC$K$68#GR">
                        <a:extLst>
                          <a:ext uri="{FF2B5EF4-FFF2-40B4-BE49-F238E27FC236}">
                            <a16:creationId xmlns:a16="http://schemas.microsoft.com/office/drawing/2014/main" id="{2A6D8BB5-A41F-4818-B31B-875D4C8F86B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3156" name="BC$K$68#GR">
                          <a:extLst>
                            <a:ext uri="{FF2B5EF4-FFF2-40B4-BE49-F238E27FC236}">
                              <a16:creationId xmlns:a16="http://schemas.microsoft.com/office/drawing/2014/main" id="{0055C3DB-8B99-4377-864C-D05DE188E9E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3154" name="BC$K$68#GR">
                            <a:extLst>
                              <a:ext uri="{FF2B5EF4-FFF2-40B4-BE49-F238E27FC236}">
                                <a16:creationId xmlns:a16="http://schemas.microsoft.com/office/drawing/2014/main" id="{8F89FFAD-202B-4F6F-874A-7F857F300C9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3152" name="BC$K$68#GR">
                              <a:extLst>
                                <a:ext uri="{FF2B5EF4-FFF2-40B4-BE49-F238E27FC236}">
                                  <a16:creationId xmlns:a16="http://schemas.microsoft.com/office/drawing/2014/main" id="{ADE8BF03-BDDB-4B07-B2A9-F49F3490B9B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3150" name="BC$K$68#GR">
                                <a:extLst>
                                  <a:ext uri="{FF2B5EF4-FFF2-40B4-BE49-F238E27FC236}">
                                    <a16:creationId xmlns:a16="http://schemas.microsoft.com/office/drawing/2014/main" id="{526C80AE-3C6A-472B-8DFC-CCE70925F29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3148" name="BC$K$68#GR">
                                  <a:extLst>
                                    <a:ext uri="{FF2B5EF4-FFF2-40B4-BE49-F238E27FC236}">
                                      <a16:creationId xmlns:a16="http://schemas.microsoft.com/office/drawing/2014/main" id="{CC7E948C-B19B-431D-BBBA-912F36CE9DB4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3146" name="BC$K$68#GR">
                                    <a:extLst>
                                      <a:ext uri="{FF2B5EF4-FFF2-40B4-BE49-F238E27FC236}">
                                        <a16:creationId xmlns:a16="http://schemas.microsoft.com/office/drawing/2014/main" id="{D113E870-FC73-48A4-8FDA-C58D6FAD7149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3144" name="BC$K$68#GR">
                                      <a:extLst>
                                        <a:ext uri="{FF2B5EF4-FFF2-40B4-BE49-F238E27FC236}">
                                          <a16:creationId xmlns:a16="http://schemas.microsoft.com/office/drawing/2014/main" id="{7D67EBFB-2D7E-4C04-B61A-961192FF320B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3142" name="BC$K$6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3593A01-F76C-438B-B28D-320A24B8FBB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3140" name="BC$K$6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4184D04-4D3B-4ED2-86FF-449DB47799D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3138" name="BC$K$6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3B80160-518A-4996-A8AF-B905F181605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3136" name="BC$K$6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F9F0C99-9A7D-43C9-8FE2-C1A46F72BFB3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3134" name="BC$K$6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1D4915E-B6AF-44DD-B6A7-2561C85CBAC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3132" name="BC$K$6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2CAAFB8-27C9-404F-B6DB-47C2F7ECC898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3130" name="BC$K$6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91C8222-CC2C-4FB8-9D50-F9AD15E3FFF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3128" name="BC$K$6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079E02D-C9F9-4D4E-8947-5DF95E8A9BC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3126" name="BC$K$6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2DC7179-1DEF-48A0-A930-75712C8EA2D6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124" name="BC$K$6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5E64E8F-256E-4DEF-BB90-69539081E867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122" name="BC$K$6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5B02892-A22E-478F-8EAD-967131AB605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3120" name="BC$K$6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59EAF65-BD96-43B8-94EF-F242288CE93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3118" name="BC$K$6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0B4DAD4-F32C-482C-8478-6BCEC7F7FEC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3116" name="BC$K$6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2A26B49-A992-475C-AAF8-80444757981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3114" name="BC$K$6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4A18136-7072-40B0-9E84-8D0CD888982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3112" name="BC$K$6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ECEAB29-2B14-4143-B4E3-FD703FD3E4A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3110" name="BC$K$6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3314791-5F8D-4F62-98C2-13DB0B3A5AE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108" name="BC$K$6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F38029E-A8CC-4202-A0B7-85EE4FC3243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106" name="BC$K$6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8701C4B-FABD-4A33-82C8-1DB010CA4EF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104" name="BC$K$6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BEE7365-BE23-4225-BFF7-2340735AE51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102" name="BC$K$6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A75B194-C84E-40D9-A49E-3C2518DAC05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100" name="BC$K$6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62E3976-D364-440D-9376-DB97FC08AEE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098" name="BC$K$68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CBCB045-3BA4-4E0B-A785-790475F97C1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096" name="BC$K$68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66AE77F3-E58B-44F3-8CA5-6BF5C902481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094" name="BC$K$68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AD6845AD-16E3-47A1-B1CA-1BD92F9C852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095" name="BC$K$68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DC0BAF6-F0B2-4C6F-A8B7-2EC3554F4D8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097" name="BC$K$68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45F1CAF-AE60-4AB4-8DE5-556C1FAF4549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099" name="BC$K$68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CB1D9BA-5648-4274-89E9-37817FCBF36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101" name="BC$K$68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EC9A735-2BE6-4EB0-84C7-506B9DE8A92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103" name="BC$K$68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A0E42DC-9D18-4BD9-82D0-95B0D2CFF19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105" name="BC$K$68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2C7E549-EFE6-417B-9B1E-AB0911A64C9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107" name="BC$K$68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1598677-78AA-4DC7-8C40-2330CCF94BC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109" name="BC$K$68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71CCA3C-2A63-46D5-A1C3-755B9F4DE72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3111" name="BC$K$68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2350274-EE93-413B-BEA9-CCC9544B94C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3113" name="BC$K$68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23B7CAD-718A-4CF4-AAC0-AA52708D63B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3115" name="BC$K$68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A379BEE-E055-4E5C-AC0D-195B39D33A7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3117" name="BC$K$68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C38254E-F11C-4A8D-9B79-96E033AB71F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3119" name="BC$K$68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692035B-DDB1-45EC-944B-4CDED385715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3121" name="BC$K$68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48A9EEF-53BF-43E5-8D6D-CE441F9F2AF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123" name="BC$K$68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B8BFFF8-69F4-4B00-9176-F7AA102A497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3125" name="BC$K$68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8C95762-F9C3-4D2A-9453-6DC4F68805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3127" name="BC$K$68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4D6752B-2FD4-45A0-A8EA-6528BA98F0A9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3129" name="BC$K$68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53CFE0E-51FF-4522-B631-650AE9090796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3131" name="BC$K$68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7393A06-6D21-4EA3-B26E-47A9693AC5B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3133" name="BC$K$68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173DB23-796D-4EBC-B060-E055A8B79C64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3135" name="BC$K$68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1819FB7-40F3-4652-8F25-80FCF884713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3137" name="BC$K$68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08B238B-3EF7-4B86-80E0-0A14F656F8E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3139" name="BC$K$68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3B7AA4C-5482-46F5-9225-EED80DCAFC7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3141" name="BC$K$68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B1D6F4E-67F6-4EBB-8C36-8F7D6FF8FF6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3143" name="BC$K$68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2018163-1010-4036-B785-8901426A17AF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3145" name="BC$K$68#BR26">
                                      <a:extLst>
                                        <a:ext uri="{FF2B5EF4-FFF2-40B4-BE49-F238E27FC236}">
                                          <a16:creationId xmlns:a16="http://schemas.microsoft.com/office/drawing/2014/main" id="{6764A63B-3874-4AAB-9A79-A76BB700EAC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3147" name="BC$K$68#BR27">
                                    <a:extLst>
                                      <a:ext uri="{FF2B5EF4-FFF2-40B4-BE49-F238E27FC236}">
                                        <a16:creationId xmlns:a16="http://schemas.microsoft.com/office/drawing/2014/main" id="{D0E41F1D-A94F-4B5E-B437-1217EF97916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3149" name="BC$K$68#BR28">
                                  <a:extLst>
                                    <a:ext uri="{FF2B5EF4-FFF2-40B4-BE49-F238E27FC236}">
                                      <a16:creationId xmlns:a16="http://schemas.microsoft.com/office/drawing/2014/main" id="{A4431702-63B3-4928-ACC0-8B8EAADC49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3151" name="BC$K$68#BR29">
                                <a:extLst>
                                  <a:ext uri="{FF2B5EF4-FFF2-40B4-BE49-F238E27FC236}">
                                    <a16:creationId xmlns:a16="http://schemas.microsoft.com/office/drawing/2014/main" id="{424751B2-EED1-4EB7-9224-88A31756B25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153" name="BC$K$68#BR30">
                              <a:extLst>
                                <a:ext uri="{FF2B5EF4-FFF2-40B4-BE49-F238E27FC236}">
                                  <a16:creationId xmlns:a16="http://schemas.microsoft.com/office/drawing/2014/main" id="{5CCABCCB-7AD4-4554-960D-F177A3CE01D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155" name="BC$K$68#BR31">
                            <a:extLst>
                              <a:ext uri="{FF2B5EF4-FFF2-40B4-BE49-F238E27FC236}">
                                <a16:creationId xmlns:a16="http://schemas.microsoft.com/office/drawing/2014/main" id="{8958BDE1-5AED-44FB-9306-97E9114621C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3157" name="BC$K$68#BR32">
                          <a:extLst>
                            <a:ext uri="{FF2B5EF4-FFF2-40B4-BE49-F238E27FC236}">
                              <a16:creationId xmlns:a16="http://schemas.microsoft.com/office/drawing/2014/main" id="{BE20F911-3148-4D24-B0E5-8784A607618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159" name="BC$K$68#BR33">
                        <a:extLst>
                          <a:ext uri="{FF2B5EF4-FFF2-40B4-BE49-F238E27FC236}">
                            <a16:creationId xmlns:a16="http://schemas.microsoft.com/office/drawing/2014/main" id="{F1D14316-B904-4A13-9941-6E99D8C3860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161" name="BC$K$68#BR34">
                      <a:extLst>
                        <a:ext uri="{FF2B5EF4-FFF2-40B4-BE49-F238E27FC236}">
                          <a16:creationId xmlns:a16="http://schemas.microsoft.com/office/drawing/2014/main" id="{80CD64BA-F3BC-4121-96DB-4B3A26BA0EDD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163" name="BC$K$68#BR35">
                    <a:extLst>
                      <a:ext uri="{FF2B5EF4-FFF2-40B4-BE49-F238E27FC236}">
                        <a16:creationId xmlns:a16="http://schemas.microsoft.com/office/drawing/2014/main" id="{B166FAE2-AA58-41CF-AC5E-133B07C47035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165" name="BC$K$68#BR36">
                  <a:extLst>
                    <a:ext uri="{FF2B5EF4-FFF2-40B4-BE49-F238E27FC236}">
                      <a16:creationId xmlns:a16="http://schemas.microsoft.com/office/drawing/2014/main" id="{955326C8-D2C5-4ACA-9647-8B328D24FB9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167" name="BC$K$68#BR37">
                <a:extLst>
                  <a:ext uri="{FF2B5EF4-FFF2-40B4-BE49-F238E27FC236}">
                    <a16:creationId xmlns:a16="http://schemas.microsoft.com/office/drawing/2014/main" id="{B357BF96-AB2F-4160-8C80-3771B3CEEF8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169" name="BC$K$68#BR38">
              <a:extLst>
                <a:ext uri="{FF2B5EF4-FFF2-40B4-BE49-F238E27FC236}">
                  <a16:creationId xmlns:a16="http://schemas.microsoft.com/office/drawing/2014/main" id="{9323AEAD-8084-401D-BBA4-6B3505C4DF2F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171" name="BC$K$68#BR39">
            <a:extLst>
              <a:ext uri="{FF2B5EF4-FFF2-40B4-BE49-F238E27FC236}">
                <a16:creationId xmlns:a16="http://schemas.microsoft.com/office/drawing/2014/main" id="{760F9880-F938-4C33-A093-B014A99EAE3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58616</xdr:colOff>
      <xdr:row>84</xdr:row>
      <xdr:rowOff>183173</xdr:rowOff>
    </xdr:from>
    <xdr:to>
      <xdr:col>13</xdr:col>
      <xdr:colOff>220541</xdr:colOff>
      <xdr:row>86</xdr:row>
      <xdr:rowOff>183173</xdr:rowOff>
    </xdr:to>
    <xdr:grpSp>
      <xdr:nvGrpSpPr>
        <xdr:cNvPr id="3251" name="BC$K$79#GR">
          <a:extLst>
            <a:ext uri="{FF2B5EF4-FFF2-40B4-BE49-F238E27FC236}">
              <a16:creationId xmlns:a16="http://schemas.microsoft.com/office/drawing/2014/main" id="{F5CC9BD8-9214-432C-B16C-B7E2B1B719B9}"/>
            </a:ext>
          </a:extLst>
        </xdr:cNvPr>
        <xdr:cNvGrpSpPr/>
      </xdr:nvGrpSpPr>
      <xdr:grpSpPr>
        <a:xfrm>
          <a:off x="2687516" y="16089923"/>
          <a:ext cx="381000" cy="381000"/>
          <a:chOff x="0" y="0"/>
          <a:chExt cx="381000" cy="381000"/>
        </a:xfrm>
      </xdr:grpSpPr>
      <xdr:grpSp>
        <xdr:nvGrpSpPr>
          <xdr:cNvPr id="3249" name="BC$K$79#GR">
            <a:extLst>
              <a:ext uri="{FF2B5EF4-FFF2-40B4-BE49-F238E27FC236}">
                <a16:creationId xmlns:a16="http://schemas.microsoft.com/office/drawing/2014/main" id="{EACB7784-BD68-497B-9DDF-657AD3D2066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247" name="BC$K$79#GR">
              <a:extLst>
                <a:ext uri="{FF2B5EF4-FFF2-40B4-BE49-F238E27FC236}">
                  <a16:creationId xmlns:a16="http://schemas.microsoft.com/office/drawing/2014/main" id="{60C4FF02-7678-4D31-80DF-BFFFBD2C759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245" name="BC$K$79#GR">
                <a:extLst>
                  <a:ext uri="{FF2B5EF4-FFF2-40B4-BE49-F238E27FC236}">
                    <a16:creationId xmlns:a16="http://schemas.microsoft.com/office/drawing/2014/main" id="{42F24079-E1EF-4863-B822-D8AA977E3B1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243" name="BC$K$79#GR">
                  <a:extLst>
                    <a:ext uri="{FF2B5EF4-FFF2-40B4-BE49-F238E27FC236}">
                      <a16:creationId xmlns:a16="http://schemas.microsoft.com/office/drawing/2014/main" id="{347B9D2F-C5FB-4D2B-8C88-60E7ADEEB603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241" name="BC$K$79#GR">
                    <a:extLst>
                      <a:ext uri="{FF2B5EF4-FFF2-40B4-BE49-F238E27FC236}">
                        <a16:creationId xmlns:a16="http://schemas.microsoft.com/office/drawing/2014/main" id="{33A0E41A-F915-4DB9-A4BA-30490A9E76D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239" name="BC$K$79#GR">
                      <a:extLst>
                        <a:ext uri="{FF2B5EF4-FFF2-40B4-BE49-F238E27FC236}">
                          <a16:creationId xmlns:a16="http://schemas.microsoft.com/office/drawing/2014/main" id="{0E0BB1E8-DE3F-4B87-9240-6FD754E1983C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237" name="BC$K$79#GR">
                        <a:extLst>
                          <a:ext uri="{FF2B5EF4-FFF2-40B4-BE49-F238E27FC236}">
                            <a16:creationId xmlns:a16="http://schemas.microsoft.com/office/drawing/2014/main" id="{485C38FB-D879-4877-87E8-441B15548DA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3235" name="BC$K$79#GR">
                          <a:extLst>
                            <a:ext uri="{FF2B5EF4-FFF2-40B4-BE49-F238E27FC236}">
                              <a16:creationId xmlns:a16="http://schemas.microsoft.com/office/drawing/2014/main" id="{9E32090A-0EDC-4866-973D-8744AAD7E86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3233" name="BC$K$79#GR">
                            <a:extLst>
                              <a:ext uri="{FF2B5EF4-FFF2-40B4-BE49-F238E27FC236}">
                                <a16:creationId xmlns:a16="http://schemas.microsoft.com/office/drawing/2014/main" id="{098D01C6-B886-4564-A29F-AF8DC2441B9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3231" name="BC$K$79#GR">
                              <a:extLst>
                                <a:ext uri="{FF2B5EF4-FFF2-40B4-BE49-F238E27FC236}">
                                  <a16:creationId xmlns:a16="http://schemas.microsoft.com/office/drawing/2014/main" id="{2FE6A762-0EF4-4D4C-B0AC-55649EB9EA0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3229" name="BC$K$79#GR">
                                <a:extLst>
                                  <a:ext uri="{FF2B5EF4-FFF2-40B4-BE49-F238E27FC236}">
                                    <a16:creationId xmlns:a16="http://schemas.microsoft.com/office/drawing/2014/main" id="{A4569708-D421-4EC1-A2AB-2C98860D1C05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3227" name="BC$K$79#GR">
                                  <a:extLst>
                                    <a:ext uri="{FF2B5EF4-FFF2-40B4-BE49-F238E27FC236}">
                                      <a16:creationId xmlns:a16="http://schemas.microsoft.com/office/drawing/2014/main" id="{AA0349BF-91BB-4D82-B6AD-9C78820E4B3D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3225" name="BC$K$79#GR">
                                    <a:extLst>
                                      <a:ext uri="{FF2B5EF4-FFF2-40B4-BE49-F238E27FC236}">
                                        <a16:creationId xmlns:a16="http://schemas.microsoft.com/office/drawing/2014/main" id="{E4DDE25C-9645-4005-8810-47568C6A96E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3223" name="BC$K$79#GR">
                                      <a:extLst>
                                        <a:ext uri="{FF2B5EF4-FFF2-40B4-BE49-F238E27FC236}">
                                          <a16:creationId xmlns:a16="http://schemas.microsoft.com/office/drawing/2014/main" id="{FA2481DB-8E01-4793-87D1-8DE7FE18A89F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3221" name="BC$K$7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8B6616D-D2BC-476D-B87A-DF6CC38FE57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3219" name="BC$K$7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76F2F7E-3F94-40D5-B0BE-1BC5EAD580F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3217" name="BC$K$7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8527D22-A2D9-4BB2-83E8-8CBCFC0F45D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3215" name="BC$K$7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F47777D-A3AA-4F44-98AB-263146F9A97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3213" name="BC$K$7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4EE9971-24D1-4149-A2C5-CC66ECA73C12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3211" name="BC$K$7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02CC0A3-FCED-42C5-94B3-D4814E95189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3209" name="BC$K$7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1CE2CEB-FAA1-47E9-A9E8-ECBBDE188D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3207" name="BC$K$7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F0A8972-ECFF-4AB6-A41E-AC0AC42CDAF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3205" name="BC$K$7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00141C3-7543-44FA-8656-813291E471C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203" name="BC$K$7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D3AC144-0F74-4F75-8C80-E4E1139111D9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201" name="BC$K$7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8A32A7E-C9B4-45A0-A9E6-A853A06CC8B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3199" name="BC$K$7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0089500-38E5-403C-8508-60DF79F7818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3197" name="BC$K$7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C5472EB-630F-4D8F-851E-1506391B82E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3195" name="BC$K$7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3EDA0E7-14DC-493B-AEF9-29C363ED187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3193" name="BC$K$7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BB8AC63-2F53-4417-A62B-F9B48B851A7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3191" name="BC$K$7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FEE3CBE-A6ED-4FDC-970B-970AD0CC4E1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3189" name="BC$K$7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C7DB64E-3E41-45C8-9E4F-61F10E0C043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187" name="BC$K$7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FA556D0-4225-4A87-AC24-51230BF1D10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185" name="BC$K$7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9E5EAD7-6E08-42C9-B87B-C5C3224D7CB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183" name="BC$K$7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4803094-7E70-477E-888E-061C096791F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181" name="BC$K$7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20E481B-88CD-448A-82DE-1A38FE088E5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179" name="BC$K$7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D080563-3B29-4369-A03E-5C9F4FA4CB0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177" name="BC$K$79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4C5B88E-AA21-49BB-872F-5503986631E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175" name="BC$K$79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62654C20-A197-4222-B3B1-DE957275AF91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173" name="BC$K$79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CB6A5DE-A46C-4546-8F64-2C5D5CB690A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174" name="BC$K$79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CA1DFDD5-7669-4DCB-B237-92633FE8AF93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176" name="BC$K$79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1DA3BDC8-41EF-4318-B8B9-F1CAB72D6997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178" name="BC$K$79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FB101F2-F719-42D1-ACCB-39B763FD423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180" name="BC$K$79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7F76B80-F950-4545-9514-A0CAEAD0118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182" name="BC$K$79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6039DF3-34D7-490A-BAD5-F0C284C2E45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184" name="BC$K$79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20F7D3A-D295-45AB-8725-34082C8D187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186" name="BC$K$79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5B8A0A8-2BB1-44D7-A04B-B0110E69461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188" name="BC$K$79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E503D8F-4FE3-473E-9F0D-C58238DE8A7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3190" name="BC$K$79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DE51038-DABB-4627-AA8C-7C9E2311D55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3192" name="BC$K$79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98CFF9F-86C1-4C8C-8238-FD143EC6A27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3194" name="BC$K$79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8F47EF9-2B85-435D-89A7-EE3F0A5BFE5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3196" name="BC$K$79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F33D1BB-EEF1-4319-9642-3CDCE9DF015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3198" name="BC$K$79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716DFBB-510A-4053-B3F3-9DE0FD1CB67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3200" name="BC$K$79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144CDC8-7A6F-4F9B-9D63-97087739F78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202" name="BC$K$79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FF299C3-6B9B-4D66-9BFE-79947A27CF4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3204" name="BC$K$79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28F0B13-95B2-477A-8735-AAF0C5F9920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3206" name="BC$K$79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527A3B4-80B3-49F6-A85F-943211B853B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3208" name="BC$K$79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F8F84C2-39DE-4648-898E-64C9A7C4992D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3210" name="BC$K$79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6FB5724-1EFD-41D6-B10D-CE069D5D500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3212" name="BC$K$79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262B51A-34E2-4E7B-AE8C-6F2F6F1DEB12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3214" name="BC$K$79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3FEB34A-EE66-463C-9576-A56E271A499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3216" name="BC$K$79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0FD32D5-CA18-41FE-82EB-A0D5E5C0DA7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3218" name="BC$K$79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68B4151-0A8F-4BBF-979E-C92B4AE5DE9B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3220" name="BC$K$79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DDA5654-90FE-41B7-8C79-38500481EB4C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3222" name="BC$K$79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038184D-2F86-4182-922E-AB98CB102EC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3224" name="BC$K$79#BR26">
                                      <a:extLst>
                                        <a:ext uri="{FF2B5EF4-FFF2-40B4-BE49-F238E27FC236}">
                                          <a16:creationId xmlns:a16="http://schemas.microsoft.com/office/drawing/2014/main" id="{8F0A0B44-DB65-416C-AD7A-532E6904978C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3226" name="BC$K$79#BR27">
                                    <a:extLst>
                                      <a:ext uri="{FF2B5EF4-FFF2-40B4-BE49-F238E27FC236}">
                                        <a16:creationId xmlns:a16="http://schemas.microsoft.com/office/drawing/2014/main" id="{2E2ABCF4-2EE0-42B8-8030-2C8894F0BBD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3228" name="BC$K$79#BR28">
                                  <a:extLst>
                                    <a:ext uri="{FF2B5EF4-FFF2-40B4-BE49-F238E27FC236}">
                                      <a16:creationId xmlns:a16="http://schemas.microsoft.com/office/drawing/2014/main" id="{B27261F4-6A7C-4F7C-A90B-B1E5F52965AF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3230" name="BC$K$79#BR29">
                                <a:extLst>
                                  <a:ext uri="{FF2B5EF4-FFF2-40B4-BE49-F238E27FC236}">
                                    <a16:creationId xmlns:a16="http://schemas.microsoft.com/office/drawing/2014/main" id="{EFE8B355-29D4-428A-AE76-151B0DBA1A0E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232" name="BC$K$79#BR30">
                              <a:extLst>
                                <a:ext uri="{FF2B5EF4-FFF2-40B4-BE49-F238E27FC236}">
                                  <a16:creationId xmlns:a16="http://schemas.microsoft.com/office/drawing/2014/main" id="{B9F94855-3CDA-4AD0-8D46-03D2EDE6CF2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234" name="BC$K$79#BR31">
                            <a:extLst>
                              <a:ext uri="{FF2B5EF4-FFF2-40B4-BE49-F238E27FC236}">
                                <a16:creationId xmlns:a16="http://schemas.microsoft.com/office/drawing/2014/main" id="{559BDBF1-58D3-45C8-817B-305150457FB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3236" name="BC$K$79#BR32">
                          <a:extLst>
                            <a:ext uri="{FF2B5EF4-FFF2-40B4-BE49-F238E27FC236}">
                              <a16:creationId xmlns:a16="http://schemas.microsoft.com/office/drawing/2014/main" id="{5411BA13-79C0-435B-8A4C-A78A101729A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238" name="BC$K$79#BR33">
                        <a:extLst>
                          <a:ext uri="{FF2B5EF4-FFF2-40B4-BE49-F238E27FC236}">
                            <a16:creationId xmlns:a16="http://schemas.microsoft.com/office/drawing/2014/main" id="{11AF3DC2-FF92-498C-B143-035B9514166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240" name="BC$K$79#BR34">
                      <a:extLst>
                        <a:ext uri="{FF2B5EF4-FFF2-40B4-BE49-F238E27FC236}">
                          <a16:creationId xmlns:a16="http://schemas.microsoft.com/office/drawing/2014/main" id="{725BA552-4991-4794-B683-413A69CFD5E6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242" name="BC$K$79#BR35">
                    <a:extLst>
                      <a:ext uri="{FF2B5EF4-FFF2-40B4-BE49-F238E27FC236}">
                        <a16:creationId xmlns:a16="http://schemas.microsoft.com/office/drawing/2014/main" id="{866BF961-6B3B-45B5-B7F2-A9B23E9CCD63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244" name="BC$K$79#BR36">
                  <a:extLst>
                    <a:ext uri="{FF2B5EF4-FFF2-40B4-BE49-F238E27FC236}">
                      <a16:creationId xmlns:a16="http://schemas.microsoft.com/office/drawing/2014/main" id="{DF72CC99-EB2E-4C02-89AB-7ED712F30CB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246" name="BC$K$79#BR37">
                <a:extLst>
                  <a:ext uri="{FF2B5EF4-FFF2-40B4-BE49-F238E27FC236}">
                    <a16:creationId xmlns:a16="http://schemas.microsoft.com/office/drawing/2014/main" id="{161E014D-B0A5-4D1B-9316-7E8E100BD375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248" name="BC$K$79#BR38">
              <a:extLst>
                <a:ext uri="{FF2B5EF4-FFF2-40B4-BE49-F238E27FC236}">
                  <a16:creationId xmlns:a16="http://schemas.microsoft.com/office/drawing/2014/main" id="{97AAF8A9-142F-490D-80B2-09D0413A902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250" name="BC$K$79#BR39">
            <a:extLst>
              <a:ext uri="{FF2B5EF4-FFF2-40B4-BE49-F238E27FC236}">
                <a16:creationId xmlns:a16="http://schemas.microsoft.com/office/drawing/2014/main" id="{CDF97654-E3C6-4A1D-AAB6-39ED77DF8B90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85</xdr:row>
      <xdr:rowOff>0</xdr:rowOff>
    </xdr:from>
    <xdr:to>
      <xdr:col>27</xdr:col>
      <xdr:colOff>200025</xdr:colOff>
      <xdr:row>87</xdr:row>
      <xdr:rowOff>0</xdr:rowOff>
    </xdr:to>
    <xdr:grpSp>
      <xdr:nvGrpSpPr>
        <xdr:cNvPr id="3330" name="BC$Y$79#GR">
          <a:extLst>
            <a:ext uri="{FF2B5EF4-FFF2-40B4-BE49-F238E27FC236}">
              <a16:creationId xmlns:a16="http://schemas.microsoft.com/office/drawing/2014/main" id="{D632A431-5A3D-46BD-8325-A4F482D313AD}"/>
            </a:ext>
          </a:extLst>
        </xdr:cNvPr>
        <xdr:cNvGrpSpPr/>
      </xdr:nvGrpSpPr>
      <xdr:grpSpPr>
        <a:xfrm>
          <a:off x="5781675" y="16097250"/>
          <a:ext cx="381000" cy="381000"/>
          <a:chOff x="0" y="0"/>
          <a:chExt cx="381000" cy="381000"/>
        </a:xfrm>
      </xdr:grpSpPr>
      <xdr:grpSp>
        <xdr:nvGrpSpPr>
          <xdr:cNvPr id="3328" name="BC$Y$79#GR">
            <a:extLst>
              <a:ext uri="{FF2B5EF4-FFF2-40B4-BE49-F238E27FC236}">
                <a16:creationId xmlns:a16="http://schemas.microsoft.com/office/drawing/2014/main" id="{DD690F77-A3B2-49AF-A0B7-52018300B7A3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326" name="BC$Y$79#GR">
              <a:extLst>
                <a:ext uri="{FF2B5EF4-FFF2-40B4-BE49-F238E27FC236}">
                  <a16:creationId xmlns:a16="http://schemas.microsoft.com/office/drawing/2014/main" id="{7039C586-FF45-4FB7-B877-41B73E33BAE7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324" name="BC$Y$79#GR">
                <a:extLst>
                  <a:ext uri="{FF2B5EF4-FFF2-40B4-BE49-F238E27FC236}">
                    <a16:creationId xmlns:a16="http://schemas.microsoft.com/office/drawing/2014/main" id="{F4F695BC-B1C1-4D9A-9298-C240AE2BEA73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322" name="BC$Y$79#GR">
                  <a:extLst>
                    <a:ext uri="{FF2B5EF4-FFF2-40B4-BE49-F238E27FC236}">
                      <a16:creationId xmlns:a16="http://schemas.microsoft.com/office/drawing/2014/main" id="{E0447EBF-AAF0-486D-B473-281BC52C6353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320" name="BC$Y$79#GR">
                    <a:extLst>
                      <a:ext uri="{FF2B5EF4-FFF2-40B4-BE49-F238E27FC236}">
                        <a16:creationId xmlns:a16="http://schemas.microsoft.com/office/drawing/2014/main" id="{FFE19FB4-2532-44D1-8A70-2403045846C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318" name="BC$Y$79#GR">
                      <a:extLst>
                        <a:ext uri="{FF2B5EF4-FFF2-40B4-BE49-F238E27FC236}">
                          <a16:creationId xmlns:a16="http://schemas.microsoft.com/office/drawing/2014/main" id="{503BDC9B-28D4-4B12-B578-4555F2CF207C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316" name="BC$Y$79#GR">
                        <a:extLst>
                          <a:ext uri="{FF2B5EF4-FFF2-40B4-BE49-F238E27FC236}">
                            <a16:creationId xmlns:a16="http://schemas.microsoft.com/office/drawing/2014/main" id="{953B5CE8-A1C8-4301-AABF-2F8966E563F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3314" name="BC$Y$79#GR">
                          <a:extLst>
                            <a:ext uri="{FF2B5EF4-FFF2-40B4-BE49-F238E27FC236}">
                              <a16:creationId xmlns:a16="http://schemas.microsoft.com/office/drawing/2014/main" id="{D4A2769E-E6DC-4B93-83C7-784943A9641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3312" name="BC$Y$79#GR">
                            <a:extLst>
                              <a:ext uri="{FF2B5EF4-FFF2-40B4-BE49-F238E27FC236}">
                                <a16:creationId xmlns:a16="http://schemas.microsoft.com/office/drawing/2014/main" id="{13899958-14F7-49A4-B054-F2CC2799695F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3310" name="BC$Y$79#GR">
                              <a:extLst>
                                <a:ext uri="{FF2B5EF4-FFF2-40B4-BE49-F238E27FC236}">
                                  <a16:creationId xmlns:a16="http://schemas.microsoft.com/office/drawing/2014/main" id="{943D200A-7FF2-4B5A-98DE-0E43F12DE3E7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3308" name="BC$Y$79#GR">
                                <a:extLst>
                                  <a:ext uri="{FF2B5EF4-FFF2-40B4-BE49-F238E27FC236}">
                                    <a16:creationId xmlns:a16="http://schemas.microsoft.com/office/drawing/2014/main" id="{37BFD33E-C47A-40FF-82E5-87050E4E8ACA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3306" name="BC$Y$79#GR">
                                  <a:extLst>
                                    <a:ext uri="{FF2B5EF4-FFF2-40B4-BE49-F238E27FC236}">
                                      <a16:creationId xmlns:a16="http://schemas.microsoft.com/office/drawing/2014/main" id="{CF00BD99-054F-4CB7-8CC9-0CA98E6AB2C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3304" name="BC$Y$79#GR">
                                    <a:extLst>
                                      <a:ext uri="{FF2B5EF4-FFF2-40B4-BE49-F238E27FC236}">
                                        <a16:creationId xmlns:a16="http://schemas.microsoft.com/office/drawing/2014/main" id="{B658740E-5366-4EBF-A4A2-3DC2F7E5412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3302" name="BC$Y$79#GR">
                                      <a:extLst>
                                        <a:ext uri="{FF2B5EF4-FFF2-40B4-BE49-F238E27FC236}">
                                          <a16:creationId xmlns:a16="http://schemas.microsoft.com/office/drawing/2014/main" id="{7425B05E-6BE9-4CBB-9BF3-D3310E97BEFA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3300" name="BC$Y$7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9DF4F49-5AAB-4B88-88E3-2045A3300EA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3298" name="BC$Y$7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1F89B68-7D3E-4438-889E-97849DC3068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3296" name="BC$Y$7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8904372-1637-4065-85FB-DF5F96D6142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3294" name="BC$Y$7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B5C559E-F0F3-4620-A1CD-86F7CC30602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3292" name="BC$Y$7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A921719-3771-4EDF-9424-1EC7FE5D087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3290" name="BC$Y$7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CF7F1FC-886D-4AA3-8E74-F1EAE191E33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3288" name="BC$Y$7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E58F7CE-3A9C-4B3E-B49B-08661C71CB4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3286" name="BC$Y$7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78D5ED6-2F76-426E-927D-1CC1F7D4600F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3284" name="BC$Y$7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23A7BB8-55C7-47FD-8FE8-6A840C0949E3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282" name="BC$Y$7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86D4B4F-4423-4771-BE65-5E08AD95C61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280" name="BC$Y$7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43ED07B-79EA-4C73-9B46-99341CF7FC3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3278" name="BC$Y$7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84AB7F5-EE5F-49FD-9417-AB107AA904C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3276" name="BC$Y$7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EE71FB9-E509-4531-8DB1-69160DCDBDD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3274" name="BC$Y$7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3DE6E5B-B9EB-4189-B3A9-45B4B17615B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3272" name="BC$Y$7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5E7CFA6-D849-484D-B277-97D95A80A99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3270" name="BC$Y$7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E3FC147-3962-4D57-BDC9-81E404F153A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3268" name="BC$Y$7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F4ED7A7-A386-4F4C-BD4D-2BA5A35FED2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266" name="BC$Y$7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3F45451-EAEB-4E2C-A1FD-345AD6159EB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264" name="BC$Y$7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6855077-204F-492A-ADF3-891FB43EF1C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262" name="BC$Y$7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FABF724-9A59-4A57-B6D3-E8A68868F1E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260" name="BC$Y$7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65B8C9E-FCCA-4EF6-BCC5-95CF77E3F50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258" name="BC$Y$7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73048B9-0570-407F-BEDA-3FDBF75A0AB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256" name="BC$Y$79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D517EF0-7BAA-49A6-9D64-5F6537674D2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254" name="BC$Y$79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5D19A20-9C4C-438C-8081-565DDF9CD24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252" name="BC$Y$79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D6D0286-FEC7-44BA-931B-7337EFB3087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253" name="BC$Y$79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E7E8FCEA-4179-4167-A542-1F30331B364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255" name="BC$Y$79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C354BA22-DF57-4C57-8390-EDB5508C7069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257" name="BC$Y$79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770B8B3-0E16-4C64-960B-6212EA9BE67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259" name="BC$Y$79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89D1692-6C13-4CC0-AE1A-70E1B896D31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261" name="BC$Y$79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91AACA0-BE78-4573-90D7-41D6A8F2217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263" name="BC$Y$79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0D2A0E8-6D10-487A-BA25-22CDFFA3AEA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265" name="BC$Y$79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9F09F9A-556C-40B7-BB0C-F474B82BF68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267" name="BC$Y$79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31837CE-23D9-4B20-A503-19548FBAADA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3269" name="BC$Y$79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BDC9DDE-5A98-4EC7-89B1-D9142F7C469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3271" name="BC$Y$79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1E53C06-ECF7-4D6F-99AB-ADFE59F8D97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3273" name="BC$Y$79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36DE4C5-E917-4EBE-924B-26D3A4ED74D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3275" name="BC$Y$79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229F1FF-8A7A-4B20-8A7B-55CB94FB6E0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3277" name="BC$Y$79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1EA6E95-7837-4633-B9CD-F8FFAF490433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3279" name="BC$Y$79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79A25A9-F121-4329-86FC-3CA00AA225F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281" name="BC$Y$79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67D8DB6-C6EF-4173-B3DB-9EC5C93AC31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3283" name="BC$Y$79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7D1E314-4088-4D75-B0D1-BB4415D961E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3285" name="BC$Y$79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FBBD861-DCFF-4122-B8B6-AEE3E04D193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3287" name="BC$Y$79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D116696-570C-4885-9849-13DE53E3DC2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3289" name="BC$Y$79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56E6BD0-B6AB-4B4E-9327-74E3B1763139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3291" name="BC$Y$79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EFAE938-D9D7-4719-B354-761DB1C39B27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3293" name="BC$Y$79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28FC3C5-0BD2-4F12-B925-2240F2E89841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3295" name="BC$Y$79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84164D8-5EEA-469A-B133-BEB4E627E52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3297" name="BC$Y$79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9536F1C-3376-4172-B9A5-83D1116D6943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3299" name="BC$Y$79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D2D5E01-7170-4D37-B1DC-05FB1DEFBAA5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3301" name="BC$Y$79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5F61C23-8C7F-45DD-B3B0-3AF3B085B76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3303" name="BC$Y$79#BR26">
                                      <a:extLst>
                                        <a:ext uri="{FF2B5EF4-FFF2-40B4-BE49-F238E27FC236}">
                                          <a16:creationId xmlns:a16="http://schemas.microsoft.com/office/drawing/2014/main" id="{A128E89E-D228-4022-912E-46549B3467B8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3305" name="BC$Y$79#BR27">
                                    <a:extLst>
                                      <a:ext uri="{FF2B5EF4-FFF2-40B4-BE49-F238E27FC236}">
                                        <a16:creationId xmlns:a16="http://schemas.microsoft.com/office/drawing/2014/main" id="{C4CF392E-6624-498F-A07C-D870E5313596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3307" name="BC$Y$79#BR28">
                                  <a:extLst>
                                    <a:ext uri="{FF2B5EF4-FFF2-40B4-BE49-F238E27FC236}">
                                      <a16:creationId xmlns:a16="http://schemas.microsoft.com/office/drawing/2014/main" id="{4EFA8EDB-3D9E-45CC-8084-56F0AC6165B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3309" name="BC$Y$79#BR29">
                                <a:extLst>
                                  <a:ext uri="{FF2B5EF4-FFF2-40B4-BE49-F238E27FC236}">
                                    <a16:creationId xmlns:a16="http://schemas.microsoft.com/office/drawing/2014/main" id="{EFE0AB00-C6E3-4601-9293-FE30387A4EA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311" name="BC$Y$79#BR30">
                              <a:extLst>
                                <a:ext uri="{FF2B5EF4-FFF2-40B4-BE49-F238E27FC236}">
                                  <a16:creationId xmlns:a16="http://schemas.microsoft.com/office/drawing/2014/main" id="{9BDCEBA4-910C-436A-9EB5-19FA230C9181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313" name="BC$Y$79#BR31">
                            <a:extLst>
                              <a:ext uri="{FF2B5EF4-FFF2-40B4-BE49-F238E27FC236}">
                                <a16:creationId xmlns:a16="http://schemas.microsoft.com/office/drawing/2014/main" id="{82A70442-43D3-4182-B211-3A959C16CCE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3315" name="BC$Y$79#BR32">
                          <a:extLst>
                            <a:ext uri="{FF2B5EF4-FFF2-40B4-BE49-F238E27FC236}">
                              <a16:creationId xmlns:a16="http://schemas.microsoft.com/office/drawing/2014/main" id="{24171F84-2213-4555-AA0F-893B576C2ED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317" name="BC$Y$79#BR33">
                        <a:extLst>
                          <a:ext uri="{FF2B5EF4-FFF2-40B4-BE49-F238E27FC236}">
                            <a16:creationId xmlns:a16="http://schemas.microsoft.com/office/drawing/2014/main" id="{A9C012B3-4FC6-45A4-AEFE-5F431849E771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319" name="BC$Y$79#BR34">
                      <a:extLst>
                        <a:ext uri="{FF2B5EF4-FFF2-40B4-BE49-F238E27FC236}">
                          <a16:creationId xmlns:a16="http://schemas.microsoft.com/office/drawing/2014/main" id="{E179E248-830C-4547-9A40-7F9623E84FFA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321" name="BC$Y$79#BR35">
                    <a:extLst>
                      <a:ext uri="{FF2B5EF4-FFF2-40B4-BE49-F238E27FC236}">
                        <a16:creationId xmlns:a16="http://schemas.microsoft.com/office/drawing/2014/main" id="{A8352BB7-9781-4D43-9348-FB80A9A3F74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323" name="BC$Y$79#BR36">
                  <a:extLst>
                    <a:ext uri="{FF2B5EF4-FFF2-40B4-BE49-F238E27FC236}">
                      <a16:creationId xmlns:a16="http://schemas.microsoft.com/office/drawing/2014/main" id="{1CD5D59F-1DE5-47EF-8A4E-6119B369F41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325" name="BC$Y$79#BR37">
                <a:extLst>
                  <a:ext uri="{FF2B5EF4-FFF2-40B4-BE49-F238E27FC236}">
                    <a16:creationId xmlns:a16="http://schemas.microsoft.com/office/drawing/2014/main" id="{692BFAD4-2DF9-48E3-BCA6-DC045570C85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327" name="BC$Y$79#BR38">
              <a:extLst>
                <a:ext uri="{FF2B5EF4-FFF2-40B4-BE49-F238E27FC236}">
                  <a16:creationId xmlns:a16="http://schemas.microsoft.com/office/drawing/2014/main" id="{90126DCA-2E43-4754-AAF9-AF6A0957D0D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329" name="BC$Y$79#BR39">
            <a:extLst>
              <a:ext uri="{FF2B5EF4-FFF2-40B4-BE49-F238E27FC236}">
                <a16:creationId xmlns:a16="http://schemas.microsoft.com/office/drawing/2014/main" id="{B177547B-A326-49DF-9573-C0BD5751E443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43961</xdr:colOff>
      <xdr:row>96</xdr:row>
      <xdr:rowOff>7327</xdr:rowOff>
    </xdr:from>
    <xdr:to>
      <xdr:col>27</xdr:col>
      <xdr:colOff>205887</xdr:colOff>
      <xdr:row>98</xdr:row>
      <xdr:rowOff>7327</xdr:rowOff>
    </xdr:to>
    <xdr:grpSp>
      <xdr:nvGrpSpPr>
        <xdr:cNvPr id="3409" name="BC$Y$90#GR">
          <a:extLst>
            <a:ext uri="{FF2B5EF4-FFF2-40B4-BE49-F238E27FC236}">
              <a16:creationId xmlns:a16="http://schemas.microsoft.com/office/drawing/2014/main" id="{89486730-01D4-4429-AEED-0BC9014B746E}"/>
            </a:ext>
          </a:extLst>
        </xdr:cNvPr>
        <xdr:cNvGrpSpPr/>
      </xdr:nvGrpSpPr>
      <xdr:grpSpPr>
        <a:xfrm>
          <a:off x="5787536" y="18200077"/>
          <a:ext cx="381001" cy="381000"/>
          <a:chOff x="0" y="0"/>
          <a:chExt cx="381000" cy="381000"/>
        </a:xfrm>
      </xdr:grpSpPr>
      <xdr:grpSp>
        <xdr:nvGrpSpPr>
          <xdr:cNvPr id="3407" name="BC$Y$90#GR">
            <a:extLst>
              <a:ext uri="{FF2B5EF4-FFF2-40B4-BE49-F238E27FC236}">
                <a16:creationId xmlns:a16="http://schemas.microsoft.com/office/drawing/2014/main" id="{ED9569E4-9C4B-42FB-A921-96A1DB4AA71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405" name="BC$Y$90#GR">
              <a:extLst>
                <a:ext uri="{FF2B5EF4-FFF2-40B4-BE49-F238E27FC236}">
                  <a16:creationId xmlns:a16="http://schemas.microsoft.com/office/drawing/2014/main" id="{75943142-798C-4020-9D5B-D409F285BFA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403" name="BC$Y$90#GR">
                <a:extLst>
                  <a:ext uri="{FF2B5EF4-FFF2-40B4-BE49-F238E27FC236}">
                    <a16:creationId xmlns:a16="http://schemas.microsoft.com/office/drawing/2014/main" id="{923CB0CF-F72B-4685-8CE3-C335C430039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401" name="BC$Y$90#GR">
                  <a:extLst>
                    <a:ext uri="{FF2B5EF4-FFF2-40B4-BE49-F238E27FC236}">
                      <a16:creationId xmlns:a16="http://schemas.microsoft.com/office/drawing/2014/main" id="{197A9E78-5EBA-4FF3-BBDD-75DB80D494B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399" name="BC$Y$90#GR">
                    <a:extLst>
                      <a:ext uri="{FF2B5EF4-FFF2-40B4-BE49-F238E27FC236}">
                        <a16:creationId xmlns:a16="http://schemas.microsoft.com/office/drawing/2014/main" id="{DF611B38-7DD4-4973-AEE1-75E1E02C4DE4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397" name="BC$Y$90#GR">
                      <a:extLst>
                        <a:ext uri="{FF2B5EF4-FFF2-40B4-BE49-F238E27FC236}">
                          <a16:creationId xmlns:a16="http://schemas.microsoft.com/office/drawing/2014/main" id="{E92D4A3D-CA39-4DB4-B4B0-9D80DDAB8F69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395" name="BC$Y$90#GR">
                        <a:extLst>
                          <a:ext uri="{FF2B5EF4-FFF2-40B4-BE49-F238E27FC236}">
                            <a16:creationId xmlns:a16="http://schemas.microsoft.com/office/drawing/2014/main" id="{8C7713DA-5311-4223-A726-6B8362C30FA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3393" name="BC$Y$90#GR">
                          <a:extLst>
                            <a:ext uri="{FF2B5EF4-FFF2-40B4-BE49-F238E27FC236}">
                              <a16:creationId xmlns:a16="http://schemas.microsoft.com/office/drawing/2014/main" id="{50B3167F-BAF4-4BE2-ACC4-3CC9418F806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3391" name="BC$Y$90#GR">
                            <a:extLst>
                              <a:ext uri="{FF2B5EF4-FFF2-40B4-BE49-F238E27FC236}">
                                <a16:creationId xmlns:a16="http://schemas.microsoft.com/office/drawing/2014/main" id="{DB76814B-F588-4359-B65E-2AF77C2ADFF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3389" name="BC$Y$90#GR">
                              <a:extLst>
                                <a:ext uri="{FF2B5EF4-FFF2-40B4-BE49-F238E27FC236}">
                                  <a16:creationId xmlns:a16="http://schemas.microsoft.com/office/drawing/2014/main" id="{FF4312FD-08FF-49BD-B6E1-DB710A6A88F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3387" name="BC$Y$90#GR">
                                <a:extLst>
                                  <a:ext uri="{FF2B5EF4-FFF2-40B4-BE49-F238E27FC236}">
                                    <a16:creationId xmlns:a16="http://schemas.microsoft.com/office/drawing/2014/main" id="{FE90C055-97E9-4697-BE68-147D179064F9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3385" name="BC$Y$90#GR">
                                  <a:extLst>
                                    <a:ext uri="{FF2B5EF4-FFF2-40B4-BE49-F238E27FC236}">
                                      <a16:creationId xmlns:a16="http://schemas.microsoft.com/office/drawing/2014/main" id="{11B26E40-59D6-4E0F-A9E4-10392179263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3383" name="BC$Y$90#GR">
                                    <a:extLst>
                                      <a:ext uri="{FF2B5EF4-FFF2-40B4-BE49-F238E27FC236}">
                                        <a16:creationId xmlns:a16="http://schemas.microsoft.com/office/drawing/2014/main" id="{ADD6944F-C8C5-43EF-95FA-C92813058F6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3381" name="BC$Y$90#GR">
                                      <a:extLst>
                                        <a:ext uri="{FF2B5EF4-FFF2-40B4-BE49-F238E27FC236}">
                                          <a16:creationId xmlns:a16="http://schemas.microsoft.com/office/drawing/2014/main" id="{AE78DFC5-B417-4B55-83FC-79EDB5CCBE1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3379" name="BC$Y$9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B014C4C-7713-4108-A4BC-3D42927BB62D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3377" name="BC$Y$9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5B38FBD-CE82-4A1A-8BCA-B096E46B9B4F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3375" name="BC$Y$9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468884A-F38F-41DC-8FBC-9B866CB2EAD2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3373" name="BC$Y$9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11A248E-EC20-469A-B8D8-D8EE1EB3C6E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3371" name="BC$Y$9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B511F99-56D0-4702-98F4-B3E8B4281FC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3369" name="BC$Y$9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343796D-DC07-44B7-8038-D060412F4726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3367" name="BC$Y$9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EF015EE-21CC-4721-9889-E03FDA1E502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3365" name="BC$Y$9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1DCC0DF-5BE2-4DF4-B758-ECA29959765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3363" name="BC$Y$9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F4C0092-66E2-405E-BD7F-559E1ADF9BD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61" name="BC$Y$9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32C2383-738F-49B9-980E-F5C352B4EE3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359" name="BC$Y$9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354F4BA-E06E-47A6-BADB-F2D5400CFCF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3357" name="BC$Y$9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92AE122-C81C-49BE-B390-B98623A309A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3355" name="BC$Y$9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D90F3DC-DED9-41BF-B1AF-60F9C9A33AF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3353" name="BC$Y$9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C04871F-E7DB-4530-8186-AD6E396684B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3351" name="BC$Y$9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1C0B50E-FBF8-4E08-93E8-19597A36912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3349" name="BC$Y$9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5084851-6D73-4922-9E8A-6E43917ECB5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3347" name="BC$Y$9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1E1E0BC-3B78-431D-836E-7A7FCC290C7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345" name="BC$Y$9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8343126-F875-4E68-99E5-ACEA4ED88DD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343" name="BC$Y$9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79FA4A4-ECC8-4A9B-9F9B-2DDD48938C1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341" name="BC$Y$9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52B4395-02A1-40F0-AE0A-A07C3EF4EC6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339" name="BC$Y$9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DE510FA-BC6B-4F1A-8703-3956D404249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337" name="BC$Y$9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76CCDF3-DCE9-419A-A0BF-BF9460999D1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335" name="BC$Y$90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6A2F1D2-E58B-4250-B104-6911D8027C4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333" name="BC$Y$90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1CF715BA-0A45-43BE-8AA3-BE11FA38F42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331" name="BC$Y$90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52C71F2-328F-455E-8471-DB4C1CFC610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332" name="BC$Y$90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EC356602-3627-44E9-B1DF-278883192F7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334" name="BC$Y$90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8331005-F07B-4BFC-80A3-39207156C03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336" name="BC$Y$90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18EAB27-0842-4123-A814-4AC17D8A334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338" name="BC$Y$90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49CF474-E4FD-4DEF-B7F8-0940DA94A80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340" name="BC$Y$90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173261B-60DF-4268-B828-AD698B58817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342" name="BC$Y$90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310AD89-5262-4E73-976E-A30ED3A7503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344" name="BC$Y$90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CB6EF72-65A9-4A3E-8C9A-C09CDACBA13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346" name="BC$Y$90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B18E62B-0091-4964-94BD-675F3DD10D5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3348" name="BC$Y$90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F31A839-4518-48AF-BB09-FB57C59B9B6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3350" name="BC$Y$90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508D470-B960-424C-82E9-3673EF03546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3352" name="BC$Y$90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3719893-D71F-4655-8BB5-8900D2F2C5F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3354" name="BC$Y$90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5DB15F7-7365-4B52-B68B-4DD8C3F82C7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3356" name="BC$Y$90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003F5BD-A642-4E04-82AA-49DF9330DDA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3358" name="BC$Y$90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8E5261C-5F52-424B-B4BC-73FEAB06FE2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360" name="BC$Y$90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4C80EE8-EDB7-49FE-A553-077BF2602A6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3362" name="BC$Y$90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6E08B17-041E-49AA-8E3F-9A2E0915349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3364" name="BC$Y$90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D63CBEE-4980-48BE-A884-D2E91D7A53E8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3366" name="BC$Y$90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6464A9C-77F3-4F55-A251-4CF8C652989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3368" name="BC$Y$90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39801CC-31DC-4974-9DF6-623E1438547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3370" name="BC$Y$90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1407859-FAA3-4ABF-8216-F98C9B379826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3372" name="BC$Y$90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CD91715-02F5-4D31-824D-3D831A12414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3374" name="BC$Y$90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029FD32-E08A-48C7-A278-73F99BA3BB5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3376" name="BC$Y$90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F0FEC66-2FC0-4A7A-83F2-F37C8C49CD6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3378" name="BC$Y$90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1DF3E0A-A1A0-48F5-94F7-7A3FB8C5D105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3380" name="BC$Y$90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7BA02BB-2BD5-406C-806B-D5B893DAC77D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3382" name="BC$Y$90#BR26">
                                      <a:extLst>
                                        <a:ext uri="{FF2B5EF4-FFF2-40B4-BE49-F238E27FC236}">
                                          <a16:creationId xmlns:a16="http://schemas.microsoft.com/office/drawing/2014/main" id="{951FE7EF-45EC-42A6-A183-0CD1BEC1931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3384" name="BC$Y$90#BR27">
                                    <a:extLst>
                                      <a:ext uri="{FF2B5EF4-FFF2-40B4-BE49-F238E27FC236}">
                                        <a16:creationId xmlns:a16="http://schemas.microsoft.com/office/drawing/2014/main" id="{C589FC40-BA16-4537-AA6C-E4A60550BAB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3386" name="BC$Y$90#BR28">
                                  <a:extLst>
                                    <a:ext uri="{FF2B5EF4-FFF2-40B4-BE49-F238E27FC236}">
                                      <a16:creationId xmlns:a16="http://schemas.microsoft.com/office/drawing/2014/main" id="{85FF5518-3266-4A7D-B2B1-FD7791CFA6ED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3388" name="BC$Y$90#BR29">
                                <a:extLst>
                                  <a:ext uri="{FF2B5EF4-FFF2-40B4-BE49-F238E27FC236}">
                                    <a16:creationId xmlns:a16="http://schemas.microsoft.com/office/drawing/2014/main" id="{6E39E687-98A9-468A-B60A-6849DE777D83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390" name="BC$Y$90#BR30">
                              <a:extLst>
                                <a:ext uri="{FF2B5EF4-FFF2-40B4-BE49-F238E27FC236}">
                                  <a16:creationId xmlns:a16="http://schemas.microsoft.com/office/drawing/2014/main" id="{BE3667A6-A087-4CC3-9CCC-0A1570A63AE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392" name="BC$Y$90#BR31">
                            <a:extLst>
                              <a:ext uri="{FF2B5EF4-FFF2-40B4-BE49-F238E27FC236}">
                                <a16:creationId xmlns:a16="http://schemas.microsoft.com/office/drawing/2014/main" id="{2CED99AA-1207-42D8-A892-D922581D9CD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3394" name="BC$Y$90#BR32">
                          <a:extLst>
                            <a:ext uri="{FF2B5EF4-FFF2-40B4-BE49-F238E27FC236}">
                              <a16:creationId xmlns:a16="http://schemas.microsoft.com/office/drawing/2014/main" id="{3651CAEB-90E6-4B5C-B828-57BC5D58DF4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396" name="BC$Y$90#BR33">
                        <a:extLst>
                          <a:ext uri="{FF2B5EF4-FFF2-40B4-BE49-F238E27FC236}">
                            <a16:creationId xmlns:a16="http://schemas.microsoft.com/office/drawing/2014/main" id="{ED3932C7-14D9-469E-9EC0-2D3B09AF2F53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398" name="BC$Y$90#BR34">
                      <a:extLst>
                        <a:ext uri="{FF2B5EF4-FFF2-40B4-BE49-F238E27FC236}">
                          <a16:creationId xmlns:a16="http://schemas.microsoft.com/office/drawing/2014/main" id="{AA6A1E70-CE42-44B7-A8B0-982EE8ED8E5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400" name="BC$Y$90#BR35">
                    <a:extLst>
                      <a:ext uri="{FF2B5EF4-FFF2-40B4-BE49-F238E27FC236}">
                        <a16:creationId xmlns:a16="http://schemas.microsoft.com/office/drawing/2014/main" id="{23CB6389-2C6D-410D-9C9A-34E04EED01E1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402" name="BC$Y$90#BR36">
                  <a:extLst>
                    <a:ext uri="{FF2B5EF4-FFF2-40B4-BE49-F238E27FC236}">
                      <a16:creationId xmlns:a16="http://schemas.microsoft.com/office/drawing/2014/main" id="{4BE24632-5C0C-45BD-9AC2-EC381A41C45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404" name="BC$Y$90#BR37">
                <a:extLst>
                  <a:ext uri="{FF2B5EF4-FFF2-40B4-BE49-F238E27FC236}">
                    <a16:creationId xmlns:a16="http://schemas.microsoft.com/office/drawing/2014/main" id="{BACF56D7-F94F-42BF-A639-91263843CA9D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406" name="BC$Y$90#BR38">
              <a:extLst>
                <a:ext uri="{FF2B5EF4-FFF2-40B4-BE49-F238E27FC236}">
                  <a16:creationId xmlns:a16="http://schemas.microsoft.com/office/drawing/2014/main" id="{BD67E099-0E36-457B-B708-BF75C4C1AEF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408" name="BC$Y$90#BR39">
            <a:extLst>
              <a:ext uri="{FF2B5EF4-FFF2-40B4-BE49-F238E27FC236}">
                <a16:creationId xmlns:a16="http://schemas.microsoft.com/office/drawing/2014/main" id="{094C3EF3-03BD-4399-BDF6-776289872D42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43962</xdr:colOff>
      <xdr:row>96</xdr:row>
      <xdr:rowOff>7327</xdr:rowOff>
    </xdr:from>
    <xdr:to>
      <xdr:col>13</xdr:col>
      <xdr:colOff>205887</xdr:colOff>
      <xdr:row>98</xdr:row>
      <xdr:rowOff>7327</xdr:rowOff>
    </xdr:to>
    <xdr:grpSp>
      <xdr:nvGrpSpPr>
        <xdr:cNvPr id="3488" name="BC$K$90#GR">
          <a:extLst>
            <a:ext uri="{FF2B5EF4-FFF2-40B4-BE49-F238E27FC236}">
              <a16:creationId xmlns:a16="http://schemas.microsoft.com/office/drawing/2014/main" id="{EA66F761-DC1C-438D-9268-F70FED97B831}"/>
            </a:ext>
          </a:extLst>
        </xdr:cNvPr>
        <xdr:cNvGrpSpPr/>
      </xdr:nvGrpSpPr>
      <xdr:grpSpPr>
        <a:xfrm>
          <a:off x="2672862" y="18200077"/>
          <a:ext cx="381000" cy="381000"/>
          <a:chOff x="0" y="0"/>
          <a:chExt cx="381000" cy="381000"/>
        </a:xfrm>
      </xdr:grpSpPr>
      <xdr:grpSp>
        <xdr:nvGrpSpPr>
          <xdr:cNvPr id="3486" name="BC$K$90#GR">
            <a:extLst>
              <a:ext uri="{FF2B5EF4-FFF2-40B4-BE49-F238E27FC236}">
                <a16:creationId xmlns:a16="http://schemas.microsoft.com/office/drawing/2014/main" id="{8F1A681C-A86C-41E3-B073-67446CA1F68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3484" name="BC$K$90#GR">
              <a:extLst>
                <a:ext uri="{FF2B5EF4-FFF2-40B4-BE49-F238E27FC236}">
                  <a16:creationId xmlns:a16="http://schemas.microsoft.com/office/drawing/2014/main" id="{A92B5181-D153-497B-BD20-BE594964975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3482" name="BC$K$90#GR">
                <a:extLst>
                  <a:ext uri="{FF2B5EF4-FFF2-40B4-BE49-F238E27FC236}">
                    <a16:creationId xmlns:a16="http://schemas.microsoft.com/office/drawing/2014/main" id="{FEEFB196-E792-48EE-97D2-5892A614231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3480" name="BC$K$90#GR">
                  <a:extLst>
                    <a:ext uri="{FF2B5EF4-FFF2-40B4-BE49-F238E27FC236}">
                      <a16:creationId xmlns:a16="http://schemas.microsoft.com/office/drawing/2014/main" id="{DEF6184A-AC60-486D-AEDC-E0B2EC19674E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3478" name="BC$K$90#GR">
                    <a:extLst>
                      <a:ext uri="{FF2B5EF4-FFF2-40B4-BE49-F238E27FC236}">
                        <a16:creationId xmlns:a16="http://schemas.microsoft.com/office/drawing/2014/main" id="{48AB3FA4-56ED-4995-A776-6B34850DD3D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3476" name="BC$K$90#GR">
                      <a:extLst>
                        <a:ext uri="{FF2B5EF4-FFF2-40B4-BE49-F238E27FC236}">
                          <a16:creationId xmlns:a16="http://schemas.microsoft.com/office/drawing/2014/main" id="{9382A509-F98B-4BBD-838C-0EDCB4347FB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3474" name="BC$K$90#GR">
                        <a:extLst>
                          <a:ext uri="{FF2B5EF4-FFF2-40B4-BE49-F238E27FC236}">
                            <a16:creationId xmlns:a16="http://schemas.microsoft.com/office/drawing/2014/main" id="{124F556C-8B26-423B-B389-A6D8BA42C23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3472" name="BC$K$90#GR">
                          <a:extLst>
                            <a:ext uri="{FF2B5EF4-FFF2-40B4-BE49-F238E27FC236}">
                              <a16:creationId xmlns:a16="http://schemas.microsoft.com/office/drawing/2014/main" id="{BCF47A7F-5457-4212-86BC-15783B5E47E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3470" name="BC$K$90#GR">
                            <a:extLst>
                              <a:ext uri="{FF2B5EF4-FFF2-40B4-BE49-F238E27FC236}">
                                <a16:creationId xmlns:a16="http://schemas.microsoft.com/office/drawing/2014/main" id="{1BB4BECE-78FD-49E1-8557-70DABD5E6CE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3468" name="BC$K$90#GR">
                              <a:extLst>
                                <a:ext uri="{FF2B5EF4-FFF2-40B4-BE49-F238E27FC236}">
                                  <a16:creationId xmlns:a16="http://schemas.microsoft.com/office/drawing/2014/main" id="{7B628430-05A3-49A1-B48D-8FD66293ABB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3466" name="BC$K$90#GR">
                                <a:extLst>
                                  <a:ext uri="{FF2B5EF4-FFF2-40B4-BE49-F238E27FC236}">
                                    <a16:creationId xmlns:a16="http://schemas.microsoft.com/office/drawing/2014/main" id="{B28EFFA4-0849-4AF1-82B0-A26BA0F4DF21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3464" name="BC$K$90#GR">
                                  <a:extLst>
                                    <a:ext uri="{FF2B5EF4-FFF2-40B4-BE49-F238E27FC236}">
                                      <a16:creationId xmlns:a16="http://schemas.microsoft.com/office/drawing/2014/main" id="{FB02FC15-8489-4149-893C-93D28D3D54F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3462" name="BC$K$90#GR">
                                    <a:extLst>
                                      <a:ext uri="{FF2B5EF4-FFF2-40B4-BE49-F238E27FC236}">
                                        <a16:creationId xmlns:a16="http://schemas.microsoft.com/office/drawing/2014/main" id="{CBDF3FCB-5770-4917-B5D8-2B6E417A3199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3460" name="BC$K$90#GR">
                                      <a:extLst>
                                        <a:ext uri="{FF2B5EF4-FFF2-40B4-BE49-F238E27FC236}">
                                          <a16:creationId xmlns:a16="http://schemas.microsoft.com/office/drawing/2014/main" id="{DDE7E136-7CBE-44C2-87F2-08AD323BF31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3458" name="BC$K$9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3492547-5D2D-464B-B7F4-FA7830067FB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3456" name="BC$K$9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BA032F4-065A-48AC-A2E9-C742ACE5B13B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3454" name="BC$K$9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9E37127-0BFD-4B7A-B1D4-5B05AFB80C07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3452" name="BC$K$9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172E739-596D-46EF-B79E-B2CF2C61CB7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3450" name="BC$K$9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4BE570E-D488-4AF7-A961-DD93CA774B1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3448" name="BC$K$9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6739217-30F5-415B-A0C2-6BA44E861B36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3446" name="BC$K$9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1B3A8B3-96C4-4F28-AFDD-B7E71DBD74C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3444" name="BC$K$9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C777EEC-747E-4A2F-884F-1FE0B4C28A6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3442" name="BC$K$9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AF3E7B0-8FFD-4AE1-A556-88A75996549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440" name="BC$K$9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3B9F098-16FD-4F34-A7D1-321D864C5F4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438" name="BC$K$9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F774A4A-955F-457B-9C19-480AEF8021B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3436" name="BC$K$9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611EC4D-31CF-4C0C-9275-79ED624F61B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3434" name="BC$K$9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7190F319-A673-4757-9F98-C62199D484B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3432" name="BC$K$9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860A82C-AE60-4DE4-A492-BEE3C50DE06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3430" name="BC$K$9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6BAD386-5584-425B-87DA-9256506A4F8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3428" name="BC$K$9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7D50BDE-FA39-4FA9-B260-B9EBBD4D576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3426" name="BC$K$9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7B1B579-7303-4CB9-9BBC-0C12C67A9FF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3424" name="BC$K$9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31AAE35-1A3B-4A33-B3D1-2CBE34E4EC3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3422" name="BC$K$9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12E1FCC-97D8-4D45-8515-D06AA22E826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3420" name="BC$K$9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2CA7268-CE7E-4267-A26C-25D649337EB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3418" name="BC$K$9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5214A3F-0DF9-49C6-8C5D-B998D452E59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3416" name="BC$K$9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009B87C-730B-462F-99CB-AE9F7E277D3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3414" name="BC$K$90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7921BDF-8B74-414F-A9E7-3E85F1573FF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3412" name="BC$K$90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B63EE93-76B3-4CC1-80F2-CCC28C0FE72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410" name="BC$K$90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36DC6BC-6E20-443B-8FAB-25F99B9956EF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411" name="BC$K$90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040815A-F554-43DA-B82E-87BD9C4CF857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3413" name="BC$K$90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E9FDC3F-1B60-46CC-A222-D2B476C7A8F1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3415" name="BC$K$90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4434FD5-8153-43E2-94EC-FFC66947689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3417" name="BC$K$90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EFEFF4A-8127-4A92-9CF2-C384658AC6E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3419" name="BC$K$90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06E13C0-2E34-47DC-AECA-21AAED3CD36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3421" name="BC$K$90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6F9E0F4-25CB-4460-A271-462F44F7C8C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3423" name="BC$K$90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A4FDF27-41E5-4AF4-BFD6-290F2B61964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3425" name="BC$K$90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837EDB4-8FE2-4ED6-BC1D-A5D56625910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3427" name="BC$K$90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229B276-213A-4B37-9413-E91E54F9270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3429" name="BC$K$90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F2CE9D5-3BDC-47C8-96F5-2968CE90F32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3431" name="BC$K$90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50C9ABA-F74D-4FAA-BE8C-A64EBE445CC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3433" name="BC$K$90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0226C2B-148C-438E-9FBB-27C8C34305F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3435" name="BC$K$90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B95E5AD-A93E-4819-AE27-FF54E4C343E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3437" name="BC$K$90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DE2C990-EA7F-4545-AC26-572A29E8277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439" name="BC$K$90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53D8338-5618-4C1A-B82B-7B3578A12A7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3441" name="BC$K$90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66C9543-FA68-4052-878E-954F6D5FF6F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222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3443" name="BC$K$90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82927B1-99AC-40C2-86D3-EB988360A71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3445" name="BC$K$90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780A441-4001-4A55-8B5C-1F63F3CB1337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3447" name="BC$K$90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9F80F9E-0B5D-45BF-AA08-847D243185D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3449" name="BC$K$90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54E4E3C-E688-48D5-90C1-D7C5CD4ED93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3451" name="BC$K$90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C149102-A089-45D4-A75B-9DEEA8E51A47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635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3453" name="BC$K$90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34E7CA9-B770-45A0-AD22-BAD2F0CCF1D5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3455" name="BC$K$90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E9D4CC0-E61C-403F-BA4D-42E2D02CE794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3457" name="BC$K$90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11638DE-B376-4B8D-AE9A-DC1B0272D95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3459" name="BC$K$90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AE74CD9-59B0-4F7B-9855-B31DFED689C7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3461" name="BC$K$90#BR26">
                                      <a:extLst>
                                        <a:ext uri="{FF2B5EF4-FFF2-40B4-BE49-F238E27FC236}">
                                          <a16:creationId xmlns:a16="http://schemas.microsoft.com/office/drawing/2014/main" id="{73BA809A-4F4B-4E75-8B3C-D0561FE104E4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3463" name="BC$K$90#BR27">
                                    <a:extLst>
                                      <a:ext uri="{FF2B5EF4-FFF2-40B4-BE49-F238E27FC236}">
                                        <a16:creationId xmlns:a16="http://schemas.microsoft.com/office/drawing/2014/main" id="{DAC0F7B1-3509-422C-827B-5976799ECB5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3465" name="BC$K$90#BR28">
                                  <a:extLst>
                                    <a:ext uri="{FF2B5EF4-FFF2-40B4-BE49-F238E27FC236}">
                                      <a16:creationId xmlns:a16="http://schemas.microsoft.com/office/drawing/2014/main" id="{F576D12C-BD55-4AE1-87D9-4C3AA3C6DB3D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3467" name="BC$K$90#BR29">
                                <a:extLst>
                                  <a:ext uri="{FF2B5EF4-FFF2-40B4-BE49-F238E27FC236}">
                                    <a16:creationId xmlns:a16="http://schemas.microsoft.com/office/drawing/2014/main" id="{2094965A-3CD2-4CC2-BD70-C6C0F9B54D7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469" name="BC$K$90#BR30">
                              <a:extLst>
                                <a:ext uri="{FF2B5EF4-FFF2-40B4-BE49-F238E27FC236}">
                                  <a16:creationId xmlns:a16="http://schemas.microsoft.com/office/drawing/2014/main" id="{7EDA5C71-CF71-4998-ADB5-F2D78273FB4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471" name="BC$K$90#BR31">
                            <a:extLst>
                              <a:ext uri="{FF2B5EF4-FFF2-40B4-BE49-F238E27FC236}">
                                <a16:creationId xmlns:a16="http://schemas.microsoft.com/office/drawing/2014/main" id="{145019E8-D0BD-4A68-9F65-20F4CCA8754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3473" name="BC$K$90#BR32">
                          <a:extLst>
                            <a:ext uri="{FF2B5EF4-FFF2-40B4-BE49-F238E27FC236}">
                              <a16:creationId xmlns:a16="http://schemas.microsoft.com/office/drawing/2014/main" id="{F536C732-FDB6-4F42-94E2-668DCA5E4B5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3475" name="BC$K$90#BR33">
                        <a:extLst>
                          <a:ext uri="{FF2B5EF4-FFF2-40B4-BE49-F238E27FC236}">
                            <a16:creationId xmlns:a16="http://schemas.microsoft.com/office/drawing/2014/main" id="{5DE4A7BC-C5BD-4E93-AD7F-41A19B1ACA4B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3477" name="BC$K$90#BR34">
                      <a:extLst>
                        <a:ext uri="{FF2B5EF4-FFF2-40B4-BE49-F238E27FC236}">
                          <a16:creationId xmlns:a16="http://schemas.microsoft.com/office/drawing/2014/main" id="{7B2DE585-2A99-485D-9934-2A0421D5981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3479" name="BC$K$90#BR35">
                    <a:extLst>
                      <a:ext uri="{FF2B5EF4-FFF2-40B4-BE49-F238E27FC236}">
                        <a16:creationId xmlns:a16="http://schemas.microsoft.com/office/drawing/2014/main" id="{4B833982-A8DE-4F25-9917-8EA163D5617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3481" name="BC$K$90#BR36">
                  <a:extLst>
                    <a:ext uri="{FF2B5EF4-FFF2-40B4-BE49-F238E27FC236}">
                      <a16:creationId xmlns:a16="http://schemas.microsoft.com/office/drawing/2014/main" id="{8619E680-8BE6-4A51-B8EB-52F956EFF4B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3483" name="BC$K$90#BR37">
                <a:extLst>
                  <a:ext uri="{FF2B5EF4-FFF2-40B4-BE49-F238E27FC236}">
                    <a16:creationId xmlns:a16="http://schemas.microsoft.com/office/drawing/2014/main" id="{1E184DF0-0DBD-459C-8193-B55F125E099D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3485" name="BC$K$90#BR38">
              <a:extLst>
                <a:ext uri="{FF2B5EF4-FFF2-40B4-BE49-F238E27FC236}">
                  <a16:creationId xmlns:a16="http://schemas.microsoft.com/office/drawing/2014/main" id="{73FBE774-2605-48DD-A0C6-1D8412299196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487" name="BC$K$90#BR39">
            <a:extLst>
              <a:ext uri="{FF2B5EF4-FFF2-40B4-BE49-F238E27FC236}">
                <a16:creationId xmlns:a16="http://schemas.microsoft.com/office/drawing/2014/main" id="{093392A1-4131-4C2D-8099-8CC10FF3125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41412</xdr:colOff>
      <xdr:row>118</xdr:row>
      <xdr:rowOff>8283</xdr:rowOff>
    </xdr:from>
    <xdr:to>
      <xdr:col>13</xdr:col>
      <xdr:colOff>203337</xdr:colOff>
      <xdr:row>120</xdr:row>
      <xdr:rowOff>8283</xdr:rowOff>
    </xdr:to>
    <xdr:grpSp>
      <xdr:nvGrpSpPr>
        <xdr:cNvPr id="4756" name="BC$K$112#GR">
          <a:extLst>
            <a:ext uri="{FF2B5EF4-FFF2-40B4-BE49-F238E27FC236}">
              <a16:creationId xmlns:a16="http://schemas.microsoft.com/office/drawing/2014/main" id="{1D4AC209-3D0F-402F-ACBF-FFD1E6F8A054}"/>
            </a:ext>
          </a:extLst>
        </xdr:cNvPr>
        <xdr:cNvGrpSpPr/>
      </xdr:nvGrpSpPr>
      <xdr:grpSpPr>
        <a:xfrm>
          <a:off x="2670312" y="22392033"/>
          <a:ext cx="381000" cy="381000"/>
          <a:chOff x="0" y="0"/>
          <a:chExt cx="381000" cy="381000"/>
        </a:xfrm>
      </xdr:grpSpPr>
      <xdr:grpSp>
        <xdr:nvGrpSpPr>
          <xdr:cNvPr id="4754" name="BC$K$112#GR">
            <a:extLst>
              <a:ext uri="{FF2B5EF4-FFF2-40B4-BE49-F238E27FC236}">
                <a16:creationId xmlns:a16="http://schemas.microsoft.com/office/drawing/2014/main" id="{115D2CFE-89D4-4387-BC85-2FA6C9D9A49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4752" name="BC$K$112#GR">
              <a:extLst>
                <a:ext uri="{FF2B5EF4-FFF2-40B4-BE49-F238E27FC236}">
                  <a16:creationId xmlns:a16="http://schemas.microsoft.com/office/drawing/2014/main" id="{1CD97983-42C2-42D5-8CCF-67B9613916F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4750" name="BC$K$112#GR">
                <a:extLst>
                  <a:ext uri="{FF2B5EF4-FFF2-40B4-BE49-F238E27FC236}">
                    <a16:creationId xmlns:a16="http://schemas.microsoft.com/office/drawing/2014/main" id="{D46C5CB9-BE3A-4E4C-A638-7101DCAA072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4748" name="BC$K$112#GR">
                  <a:extLst>
                    <a:ext uri="{FF2B5EF4-FFF2-40B4-BE49-F238E27FC236}">
                      <a16:creationId xmlns:a16="http://schemas.microsoft.com/office/drawing/2014/main" id="{B28FBAF9-DD44-40D1-B6B8-3998F4A7FD2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4746" name="BC$K$112#GR">
                    <a:extLst>
                      <a:ext uri="{FF2B5EF4-FFF2-40B4-BE49-F238E27FC236}">
                        <a16:creationId xmlns:a16="http://schemas.microsoft.com/office/drawing/2014/main" id="{DF6E2495-BA58-4523-9E7A-4DF6F5512EB4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4744" name="BC$K$112#GR">
                      <a:extLst>
                        <a:ext uri="{FF2B5EF4-FFF2-40B4-BE49-F238E27FC236}">
                          <a16:creationId xmlns:a16="http://schemas.microsoft.com/office/drawing/2014/main" id="{C8D3A96B-E74C-45E2-991F-A653AF57B6B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4742" name="BC$K$112#GR">
                        <a:extLst>
                          <a:ext uri="{FF2B5EF4-FFF2-40B4-BE49-F238E27FC236}">
                            <a16:creationId xmlns:a16="http://schemas.microsoft.com/office/drawing/2014/main" id="{EB0A9F9F-2858-4E6A-8A3D-8EC9C3D1AC3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4740" name="BC$K$112#GR">
                          <a:extLst>
                            <a:ext uri="{FF2B5EF4-FFF2-40B4-BE49-F238E27FC236}">
                              <a16:creationId xmlns:a16="http://schemas.microsoft.com/office/drawing/2014/main" id="{E063E419-A963-4E9F-985C-EF6ED42A416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4738" name="BC$K$112#GR">
                            <a:extLst>
                              <a:ext uri="{FF2B5EF4-FFF2-40B4-BE49-F238E27FC236}">
                                <a16:creationId xmlns:a16="http://schemas.microsoft.com/office/drawing/2014/main" id="{CC6BE63C-4678-4328-9DA4-DBA6CAC6B8B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4736" name="BC$K$112#GR">
                              <a:extLst>
                                <a:ext uri="{FF2B5EF4-FFF2-40B4-BE49-F238E27FC236}">
                                  <a16:creationId xmlns:a16="http://schemas.microsoft.com/office/drawing/2014/main" id="{F261E87F-2879-4AFD-BC72-33448E7BD7B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4734" name="BC$K$112#GR">
                                <a:extLst>
                                  <a:ext uri="{FF2B5EF4-FFF2-40B4-BE49-F238E27FC236}">
                                    <a16:creationId xmlns:a16="http://schemas.microsoft.com/office/drawing/2014/main" id="{068FAABC-7359-413A-8557-D172094F9B7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4732" name="BC$K$112#GR">
                                  <a:extLst>
                                    <a:ext uri="{FF2B5EF4-FFF2-40B4-BE49-F238E27FC236}">
                                      <a16:creationId xmlns:a16="http://schemas.microsoft.com/office/drawing/2014/main" id="{D78323ED-054E-4267-B243-ECC8F54178E8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4730" name="BC$K$112#GR">
                                    <a:extLst>
                                      <a:ext uri="{FF2B5EF4-FFF2-40B4-BE49-F238E27FC236}">
                                        <a16:creationId xmlns:a16="http://schemas.microsoft.com/office/drawing/2014/main" id="{7DCE6E8A-9134-4AD6-9832-A5BF2206F1DD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4728" name="BC$K$112#GR">
                                      <a:extLst>
                                        <a:ext uri="{FF2B5EF4-FFF2-40B4-BE49-F238E27FC236}">
                                          <a16:creationId xmlns:a16="http://schemas.microsoft.com/office/drawing/2014/main" id="{498DB6A9-E614-44C1-9D24-4D39CFB4D15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4726" name="BC$K$11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4FDBB4C-1294-44D0-BC1B-CD5E10A0C6B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4724" name="BC$K$11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AD7A088-8F06-42A6-B9B8-A5F4E15C8CED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4722" name="BC$K$11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C216532-EDB6-445B-A2E9-48FE39A12748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4720" name="BC$K$11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EC8C7F4-7886-4149-8F3E-95A9814C2FB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4718" name="BC$K$11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785111D-D73D-4B22-B9E4-0DDCE6026FF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4716" name="BC$K$11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C44315B-AE9A-47B8-A657-CB82A961646B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714" name="BC$K$11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5585D1D-E0DB-4047-941B-742CBC97A28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712" name="BC$K$11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CD2AA19-3E34-46B7-96F7-13B9D4B2D15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710" name="BC$K$11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820E881-D626-4852-9803-F74604AF9EC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708" name="BC$K$11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20E50D8-C314-4ECD-9A14-7933DAB1F29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706" name="BC$K$11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8E06F0B-96D5-4FC4-835C-AF048AE43E5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704" name="BC$K$11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0AAE39E-8929-4452-95D8-DAD494CB587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702" name="BC$K$11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09DECF2-4147-422B-AAB5-4841AD6FAB2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700" name="BC$K$11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DC9F6F6-F103-44F0-AC6F-F6CC6F4BB07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698" name="BC$K$11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221BF1F-7D30-41EC-9F4B-B9F6393CE7F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696" name="BC$K$11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48DC977-727B-437D-AF8B-127D7E8D8D9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694" name="BC$K$11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3685272-D46B-43F7-B2CD-AE88672152F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4692" name="BC$K$11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2A34EE8-D174-4148-918E-AD7C12E5721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4690" name="BC$K$11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A5FC4CC-4559-4A88-8F62-4033F55E463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4688" name="BC$K$11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35852BA-290D-4C6A-9634-29E4EF6BE12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4686" name="BC$K$11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DA15C54-9D3C-4024-9331-983FD30E1CD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4684" name="BC$K$11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3446416-A251-456E-A5FB-16EDADCAAA8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682" name="BC$K$11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4A5C0D5-BADF-4E83-964E-13360B93C06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680" name="BC$K$11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DBF7257-B70C-41CF-B852-EB18D557732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678" name="BC$K$11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8991665-3401-44F5-A5E1-A5D85F423FA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679" name="BC$K$11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7DD1B35-1407-431C-A4C9-BDF038127EB6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681" name="BC$K$11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0344FB5-54D0-4F49-BA34-623B3CEA11F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683" name="BC$K$11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0B81E37-C3D6-4379-8845-3D830706FCC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4685" name="BC$K$11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700B643-2AAA-433E-99E9-34D2CEA71F9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4687" name="BC$K$11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081B327-9133-4111-AD8E-CC26BDBB28D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4689" name="BC$K$11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9D72327-8408-4BB0-AC82-80A520A4140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4691" name="BC$K$11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DF56844-A5DE-4822-9337-9C695D36416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4693" name="BC$K$11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B801E4F-3395-432E-95CF-FBD5AF84874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695" name="BC$K$11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31F5280-3A8C-4808-8CB0-684440C4ED4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63500"/>
                                                                        <a:ext cx="6350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697" name="BC$K$11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B411E65-878F-4492-8208-B9FD5BACF4D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699" name="BC$K$11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C50C4C2-30C1-4B5C-BE35-32B42C39C2D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701" name="BC$K$11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C473528-38C0-4F36-AA62-4785038C49C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703" name="BC$K$11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ED28C58-E5A6-4792-BD3B-B6EA635D6E0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12700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705" name="BC$K$11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AC37B08-BEAA-4D84-AE85-C74AA264F08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4707" name="BC$K$11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EFC7EAD-3A71-4E54-8783-39D614755CC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5875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709" name="BC$K$11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898ACC1-AEF2-46BA-AA66-88F4406F35B4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905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711" name="BC$K$11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22946F1-E0C1-4C3A-8A75-D42F2224FDF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222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713" name="BC$K$11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9511FBE-CD6D-48FD-A32A-9B615469CA5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5400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715" name="BC$K$11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E1D3594-C755-4B3F-AFAF-73D1AD58E03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85750" y="1587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4717" name="BC$K$11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F7FD4AC-4387-42B7-90E0-87A3EF78209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4719" name="BC$K$11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0F573E6-80C3-4680-9540-CFD7A9141546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4721" name="BC$K$11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47F50AA-57AE-4A90-96B0-E673E72CEFC6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635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723" name="BC$K$11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AF69A00-E568-4643-8552-9C2BEBD5130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4725" name="BC$K$11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645BC20-DC29-4A0E-9D96-EB5EEAACF587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4727" name="BC$K$11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B8C1566-B4B7-4812-872B-2C2D4BB2E8EB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90500" y="222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4729" name="BC$K$11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02715BD0-C40A-4EB8-91C3-7A77956AB6B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4731" name="BC$K$112#BR27">
                                    <a:extLst>
                                      <a:ext uri="{FF2B5EF4-FFF2-40B4-BE49-F238E27FC236}">
                                        <a16:creationId xmlns:a16="http://schemas.microsoft.com/office/drawing/2014/main" id="{651C858C-E798-4344-A877-07E42688BEC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733" name="BC$K$112#BR28">
                                  <a:extLst>
                                    <a:ext uri="{FF2B5EF4-FFF2-40B4-BE49-F238E27FC236}">
                                      <a16:creationId xmlns:a16="http://schemas.microsoft.com/office/drawing/2014/main" id="{2C1D2C4F-5E81-4B64-B004-9E93FED9B9BB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735" name="BC$K$112#BR29">
                                <a:extLst>
                                  <a:ext uri="{FF2B5EF4-FFF2-40B4-BE49-F238E27FC236}">
                                    <a16:creationId xmlns:a16="http://schemas.microsoft.com/office/drawing/2014/main" id="{59C1C608-1BFD-4AFF-9F63-5EB13A2E9E5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9525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737" name="BC$K$112#BR30">
                              <a:extLst>
                                <a:ext uri="{FF2B5EF4-FFF2-40B4-BE49-F238E27FC236}">
                                  <a16:creationId xmlns:a16="http://schemas.microsoft.com/office/drawing/2014/main" id="{B4BC7216-192B-4B39-B1F7-FE85E3E64B4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4739" name="BC$K$112#BR31">
                            <a:extLst>
                              <a:ext uri="{FF2B5EF4-FFF2-40B4-BE49-F238E27FC236}">
                                <a16:creationId xmlns:a16="http://schemas.microsoft.com/office/drawing/2014/main" id="{C0432914-2151-427A-BC62-77B7C985AA9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4741" name="BC$K$112#BR32">
                          <a:extLst>
                            <a:ext uri="{FF2B5EF4-FFF2-40B4-BE49-F238E27FC236}">
                              <a16:creationId xmlns:a16="http://schemas.microsoft.com/office/drawing/2014/main" id="{6F89F2A9-2FEF-4364-ADE4-D24F89854BA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54000"/>
                          <a:ext cx="3175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4743" name="BC$K$112#BR33">
                        <a:extLst>
                          <a:ext uri="{FF2B5EF4-FFF2-40B4-BE49-F238E27FC236}">
                            <a16:creationId xmlns:a16="http://schemas.microsoft.com/office/drawing/2014/main" id="{E714C010-D052-45C4-8C3F-A9DCD595348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4745" name="BC$K$112#BR34">
                      <a:extLst>
                        <a:ext uri="{FF2B5EF4-FFF2-40B4-BE49-F238E27FC236}">
                          <a16:creationId xmlns:a16="http://schemas.microsoft.com/office/drawing/2014/main" id="{494DECEE-0299-4992-A6E7-31CDEFB28B2A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4747" name="BC$K$112#BR35">
                    <a:extLst>
                      <a:ext uri="{FF2B5EF4-FFF2-40B4-BE49-F238E27FC236}">
                        <a16:creationId xmlns:a16="http://schemas.microsoft.com/office/drawing/2014/main" id="{4BE8FBEA-03DA-4776-A5A8-0AB897A83EC4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4749" name="BC$K$112#BR36">
                  <a:extLst>
                    <a:ext uri="{FF2B5EF4-FFF2-40B4-BE49-F238E27FC236}">
                      <a16:creationId xmlns:a16="http://schemas.microsoft.com/office/drawing/2014/main" id="{6668F910-1543-4110-95AD-B2FF12AEBFA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4751" name="BC$K$112#BR37">
                <a:extLst>
                  <a:ext uri="{FF2B5EF4-FFF2-40B4-BE49-F238E27FC236}">
                    <a16:creationId xmlns:a16="http://schemas.microsoft.com/office/drawing/2014/main" id="{94D5BC67-399A-4270-A0D9-CEB3F9D15CB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753" name="BC$K$112#BR38">
              <a:extLst>
                <a:ext uri="{FF2B5EF4-FFF2-40B4-BE49-F238E27FC236}">
                  <a16:creationId xmlns:a16="http://schemas.microsoft.com/office/drawing/2014/main" id="{595BA975-2829-40C0-9E40-C7FD5A2E0ADC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755" name="BC$K$112#BR39">
            <a:extLst>
              <a:ext uri="{FF2B5EF4-FFF2-40B4-BE49-F238E27FC236}">
                <a16:creationId xmlns:a16="http://schemas.microsoft.com/office/drawing/2014/main" id="{EA5E3780-3D12-4147-820C-2F6617276A7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41413</xdr:colOff>
      <xdr:row>118</xdr:row>
      <xdr:rowOff>0</xdr:rowOff>
    </xdr:from>
    <xdr:to>
      <xdr:col>27</xdr:col>
      <xdr:colOff>203338</xdr:colOff>
      <xdr:row>120</xdr:row>
      <xdr:rowOff>0</xdr:rowOff>
    </xdr:to>
    <xdr:grpSp>
      <xdr:nvGrpSpPr>
        <xdr:cNvPr id="4835" name="BC$Y$112#GR">
          <a:extLst>
            <a:ext uri="{FF2B5EF4-FFF2-40B4-BE49-F238E27FC236}">
              <a16:creationId xmlns:a16="http://schemas.microsoft.com/office/drawing/2014/main" id="{0782BAD8-CCB3-4C55-B4AA-F70E44101AB0}"/>
            </a:ext>
          </a:extLst>
        </xdr:cNvPr>
        <xdr:cNvGrpSpPr/>
      </xdr:nvGrpSpPr>
      <xdr:grpSpPr>
        <a:xfrm>
          <a:off x="5784988" y="22383750"/>
          <a:ext cx="381000" cy="381000"/>
          <a:chOff x="0" y="0"/>
          <a:chExt cx="381000" cy="381000"/>
        </a:xfrm>
      </xdr:grpSpPr>
      <xdr:grpSp>
        <xdr:nvGrpSpPr>
          <xdr:cNvPr id="4833" name="BC$Y$112#GR">
            <a:extLst>
              <a:ext uri="{FF2B5EF4-FFF2-40B4-BE49-F238E27FC236}">
                <a16:creationId xmlns:a16="http://schemas.microsoft.com/office/drawing/2014/main" id="{DF02B296-98AC-4711-A8DB-1E48B4C8C4F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4831" name="BC$Y$112#GR">
              <a:extLst>
                <a:ext uri="{FF2B5EF4-FFF2-40B4-BE49-F238E27FC236}">
                  <a16:creationId xmlns:a16="http://schemas.microsoft.com/office/drawing/2014/main" id="{8445D386-3F7F-481F-889D-0FD81666018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4829" name="BC$Y$112#GR">
                <a:extLst>
                  <a:ext uri="{FF2B5EF4-FFF2-40B4-BE49-F238E27FC236}">
                    <a16:creationId xmlns:a16="http://schemas.microsoft.com/office/drawing/2014/main" id="{1DE32ECA-1CEC-4023-B4FC-8AB4A5408B1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4827" name="BC$Y$112#GR">
                  <a:extLst>
                    <a:ext uri="{FF2B5EF4-FFF2-40B4-BE49-F238E27FC236}">
                      <a16:creationId xmlns:a16="http://schemas.microsoft.com/office/drawing/2014/main" id="{6AF1450E-480D-4ABF-B962-C60F2E06E99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4825" name="BC$Y$112#GR">
                    <a:extLst>
                      <a:ext uri="{FF2B5EF4-FFF2-40B4-BE49-F238E27FC236}">
                        <a16:creationId xmlns:a16="http://schemas.microsoft.com/office/drawing/2014/main" id="{7AC82A35-CF9E-4A6F-A33F-631C2DF593AC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4823" name="BC$Y$112#GR">
                      <a:extLst>
                        <a:ext uri="{FF2B5EF4-FFF2-40B4-BE49-F238E27FC236}">
                          <a16:creationId xmlns:a16="http://schemas.microsoft.com/office/drawing/2014/main" id="{9977D509-2FD3-45C1-9297-C1718BB32D6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4821" name="BC$Y$112#GR">
                        <a:extLst>
                          <a:ext uri="{FF2B5EF4-FFF2-40B4-BE49-F238E27FC236}">
                            <a16:creationId xmlns:a16="http://schemas.microsoft.com/office/drawing/2014/main" id="{E6469593-B55E-471F-A3D0-874D472AA20D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4819" name="BC$Y$112#GR">
                          <a:extLst>
                            <a:ext uri="{FF2B5EF4-FFF2-40B4-BE49-F238E27FC236}">
                              <a16:creationId xmlns:a16="http://schemas.microsoft.com/office/drawing/2014/main" id="{A3A1C0A5-95BC-4DA0-BD71-A2E1413F739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4817" name="BC$Y$112#GR">
                            <a:extLst>
                              <a:ext uri="{FF2B5EF4-FFF2-40B4-BE49-F238E27FC236}">
                                <a16:creationId xmlns:a16="http://schemas.microsoft.com/office/drawing/2014/main" id="{EB4A8C58-9BF9-408B-B269-18AA90F8B1D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4815" name="BC$Y$112#GR">
                              <a:extLst>
                                <a:ext uri="{FF2B5EF4-FFF2-40B4-BE49-F238E27FC236}">
                                  <a16:creationId xmlns:a16="http://schemas.microsoft.com/office/drawing/2014/main" id="{AD796A0A-F95E-41FC-9DA0-AF31AD6FE04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4813" name="BC$Y$112#GR">
                                <a:extLst>
                                  <a:ext uri="{FF2B5EF4-FFF2-40B4-BE49-F238E27FC236}">
                                    <a16:creationId xmlns:a16="http://schemas.microsoft.com/office/drawing/2014/main" id="{CBC9CBB1-3492-45BC-BD58-15838CFCADD3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4811" name="BC$Y$112#GR">
                                  <a:extLst>
                                    <a:ext uri="{FF2B5EF4-FFF2-40B4-BE49-F238E27FC236}">
                                      <a16:creationId xmlns:a16="http://schemas.microsoft.com/office/drawing/2014/main" id="{19E8E630-DB96-4E7B-905A-58E65960CAC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4809" name="BC$Y$112#GR">
                                    <a:extLst>
                                      <a:ext uri="{FF2B5EF4-FFF2-40B4-BE49-F238E27FC236}">
                                        <a16:creationId xmlns:a16="http://schemas.microsoft.com/office/drawing/2014/main" id="{CE1F360B-FBD7-4744-BEDF-B91AB3FD368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4807" name="BC$Y$112#GR">
                                      <a:extLst>
                                        <a:ext uri="{FF2B5EF4-FFF2-40B4-BE49-F238E27FC236}">
                                          <a16:creationId xmlns:a16="http://schemas.microsoft.com/office/drawing/2014/main" id="{BC7DAC5B-05D7-446E-AD3E-1C7E2EDCA8E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4805" name="BC$Y$11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6F5F8FB-D040-4AFA-9335-3DE0F3D5E6F6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4803" name="BC$Y$11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AFE8239-02C7-4B8C-8FD8-81641566735B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4801" name="BC$Y$11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29B2DA2-227E-4F91-85D1-8AB893BB806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4799" name="BC$Y$11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5343B84-7746-4AED-B23E-7DC030130339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4797" name="BC$Y$11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B030764-9D76-41B7-9A1D-CA3A808C285D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4795" name="BC$Y$11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216F367-D5AE-4F88-90D5-25D91232C74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793" name="BC$Y$11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D656F8B-9E7D-41CD-95B0-428215B1C6B1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791" name="BC$Y$11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8DFD5DB-E14C-4BEA-9313-ED66CD016DC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789" name="BC$Y$11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5A9DDA1-9BA2-4AFD-9E8A-0D512274CE4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787" name="BC$Y$11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6A19003-38EE-47C6-BAD4-89F24343079F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785" name="BC$Y$11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6331F19-1C4F-4D37-95EA-4DA6DD4C073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783" name="BC$Y$11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55F8955-7CFC-487F-90F6-65870DFF468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781" name="BC$Y$11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EC7B23E-B1F1-4177-8F79-5BDA7A9C33B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779" name="BC$Y$11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182C544-F9B4-46B6-9BB3-7F3F3F67F0F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777" name="BC$Y$11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96CB31D-2DFC-4535-9D04-3721A24112E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775" name="BC$Y$11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1C64FB2-D090-4AE3-A8CD-40B751BA05B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773" name="BC$Y$11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9341E80-5D7E-4368-A611-FBDA51E1CC8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4771" name="BC$Y$11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534E79A-CB78-49CB-B394-B6C04C12B9D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4769" name="BC$Y$11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5581534-0601-4C38-9201-2942CA86817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4767" name="BC$Y$11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5986E89-17C3-4958-B6FA-D04720CF4FF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4765" name="BC$Y$11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17644C0-132A-480B-944D-4C5C8B170DD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4763" name="BC$Y$11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7BF92D7-B4FB-480F-B83B-E5A33E9DAC5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761" name="BC$Y$11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5DEE77E-3F2E-4387-9D9D-50C0A2E387A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759" name="BC$Y$11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001CC09-5852-4931-981C-3811AA3B2B5C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757" name="BC$Y$11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0434C25-D5DA-4BB8-A3EC-111D4EE545B4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758" name="BC$Y$11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509D8AEF-8B7B-43D8-A659-17FED729315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760" name="BC$Y$11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B3557E2-9FA7-49E0-86D1-AB223F363008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762" name="BC$Y$11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FBF385B-26A2-4A4D-BF90-DEB6BE4FCB9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4764" name="BC$Y$11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93C7A93-1662-421D-8CE6-273D3C53936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4766" name="BC$Y$11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E3B0FD0-42BE-43CF-8B5E-137CDC453C6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4768" name="BC$Y$11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CC1A3A9-9BE4-47C6-A554-FEB4C945B84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4770" name="BC$Y$11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EA595BF-BF54-48C3-BAC8-D0598389E61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4772" name="BC$Y$11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8D833A4-E972-4331-82C7-147F8270375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774" name="BC$Y$11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7DF2625-699D-4339-905F-E19689E5122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776" name="BC$Y$11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26C1598-7595-4448-811C-98C46AECE61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778" name="BC$Y$11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C037639-83E7-4F41-A64C-00DAE8654DD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780" name="BC$Y$11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CDAF4E7-12B7-4F56-989B-9FB13DFC79F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782" name="BC$Y$11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AE27D53-48CD-47FB-8BAE-642E1552F3E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784" name="BC$Y$11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EEC4BFE-7A71-4725-A557-F2F69B181E3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4786" name="BC$Y$11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57039B2-BBF5-42B2-81F4-2EB5A8C98F3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788" name="BC$Y$11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892C9F4-C60C-413C-9339-AB917012F14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790" name="BC$Y$11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C7F57DF-D7AF-4312-ACBC-6F4C379C9DA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792" name="BC$Y$11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71C5836-40A7-42CA-B649-70CADA02F7D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794" name="BC$Y$11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E4E6F67-4F9E-498F-AC9B-5C13A311E83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4796" name="BC$Y$11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E6BD387-578F-48A6-AC71-B653B6237FF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4798" name="BC$Y$11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D7D5977-D54D-421C-8516-121F40E771C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4800" name="BC$Y$11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C554ED9-43EC-4159-BA80-E14A991E282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802" name="BC$Y$11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759EB5B-C2CA-453E-8C8B-4388205F2AC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4804" name="BC$Y$11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EF7A0D5-DC76-4BF8-886B-85BF1364253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4806" name="BC$Y$11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827317D-8426-4FD4-84AC-4EBF67C2944A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4808" name="BC$Y$11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E67FCDC3-4EE0-4A0E-B97C-707491C42EC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4810" name="BC$Y$112#BR27">
                                    <a:extLst>
                                      <a:ext uri="{FF2B5EF4-FFF2-40B4-BE49-F238E27FC236}">
                                        <a16:creationId xmlns:a16="http://schemas.microsoft.com/office/drawing/2014/main" id="{4374395E-2EE7-4A3E-9860-310D508AE67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812" name="BC$Y$112#BR28">
                                  <a:extLst>
                                    <a:ext uri="{FF2B5EF4-FFF2-40B4-BE49-F238E27FC236}">
                                      <a16:creationId xmlns:a16="http://schemas.microsoft.com/office/drawing/2014/main" id="{C9E06653-1E88-4BDC-8776-59D845CF675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814" name="BC$Y$112#BR29">
                                <a:extLst>
                                  <a:ext uri="{FF2B5EF4-FFF2-40B4-BE49-F238E27FC236}">
                                    <a16:creationId xmlns:a16="http://schemas.microsoft.com/office/drawing/2014/main" id="{9A3166BC-55F2-4306-A3CC-48FF44C9A718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816" name="BC$Y$112#BR30">
                              <a:extLst>
                                <a:ext uri="{FF2B5EF4-FFF2-40B4-BE49-F238E27FC236}">
                                  <a16:creationId xmlns:a16="http://schemas.microsoft.com/office/drawing/2014/main" id="{F2E594A0-F72A-4B7D-BBD6-CF662D54CB7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4818" name="BC$Y$112#BR31">
                            <a:extLst>
                              <a:ext uri="{FF2B5EF4-FFF2-40B4-BE49-F238E27FC236}">
                                <a16:creationId xmlns:a16="http://schemas.microsoft.com/office/drawing/2014/main" id="{48375C71-2405-4234-AF1E-1D6F5A7A229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4820" name="BC$Y$112#BR32">
                          <a:extLst>
                            <a:ext uri="{FF2B5EF4-FFF2-40B4-BE49-F238E27FC236}">
                              <a16:creationId xmlns:a16="http://schemas.microsoft.com/office/drawing/2014/main" id="{DC37FF4B-F1AF-41EB-8A42-1C6DFC382AF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4822" name="BC$Y$112#BR33">
                        <a:extLst>
                          <a:ext uri="{FF2B5EF4-FFF2-40B4-BE49-F238E27FC236}">
                            <a16:creationId xmlns:a16="http://schemas.microsoft.com/office/drawing/2014/main" id="{02C6AF53-0007-4F4D-9E28-0793451DEB7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4824" name="BC$Y$112#BR34">
                      <a:extLst>
                        <a:ext uri="{FF2B5EF4-FFF2-40B4-BE49-F238E27FC236}">
                          <a16:creationId xmlns:a16="http://schemas.microsoft.com/office/drawing/2014/main" id="{AB6BA56F-6AE7-4C02-B888-B5073BBEA4C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4826" name="BC$Y$112#BR35">
                    <a:extLst>
                      <a:ext uri="{FF2B5EF4-FFF2-40B4-BE49-F238E27FC236}">
                        <a16:creationId xmlns:a16="http://schemas.microsoft.com/office/drawing/2014/main" id="{6B930AB5-0845-43C1-B80C-8ECAB11EBF7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4828" name="BC$Y$112#BR36">
                  <a:extLst>
                    <a:ext uri="{FF2B5EF4-FFF2-40B4-BE49-F238E27FC236}">
                      <a16:creationId xmlns:a16="http://schemas.microsoft.com/office/drawing/2014/main" id="{03390949-934D-4863-83AE-52249DCCE80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4830" name="BC$Y$112#BR37">
                <a:extLst>
                  <a:ext uri="{FF2B5EF4-FFF2-40B4-BE49-F238E27FC236}">
                    <a16:creationId xmlns:a16="http://schemas.microsoft.com/office/drawing/2014/main" id="{E9972652-477D-40FC-8B22-9F459F1A2B6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832" name="BC$Y$112#BR38">
              <a:extLst>
                <a:ext uri="{FF2B5EF4-FFF2-40B4-BE49-F238E27FC236}">
                  <a16:creationId xmlns:a16="http://schemas.microsoft.com/office/drawing/2014/main" id="{BD5808F4-0731-4A01-AAD8-3607196818AA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834" name="BC$Y$112#BR39">
            <a:extLst>
              <a:ext uri="{FF2B5EF4-FFF2-40B4-BE49-F238E27FC236}">
                <a16:creationId xmlns:a16="http://schemas.microsoft.com/office/drawing/2014/main" id="{571E2426-A307-4A53-867C-FC284C17BEC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49695</xdr:colOff>
      <xdr:row>129</xdr:row>
      <xdr:rowOff>8283</xdr:rowOff>
    </xdr:from>
    <xdr:to>
      <xdr:col>13</xdr:col>
      <xdr:colOff>211620</xdr:colOff>
      <xdr:row>131</xdr:row>
      <xdr:rowOff>8283</xdr:rowOff>
    </xdr:to>
    <xdr:grpSp>
      <xdr:nvGrpSpPr>
        <xdr:cNvPr id="4914" name="BC$K$123#GR">
          <a:extLst>
            <a:ext uri="{FF2B5EF4-FFF2-40B4-BE49-F238E27FC236}">
              <a16:creationId xmlns:a16="http://schemas.microsoft.com/office/drawing/2014/main" id="{F1F64CD4-A54A-4DAF-94E7-ECD869C796AB}"/>
            </a:ext>
          </a:extLst>
        </xdr:cNvPr>
        <xdr:cNvGrpSpPr/>
      </xdr:nvGrpSpPr>
      <xdr:grpSpPr>
        <a:xfrm>
          <a:off x="2678595" y="24487533"/>
          <a:ext cx="381000" cy="381000"/>
          <a:chOff x="0" y="0"/>
          <a:chExt cx="381000" cy="381000"/>
        </a:xfrm>
      </xdr:grpSpPr>
      <xdr:grpSp>
        <xdr:nvGrpSpPr>
          <xdr:cNvPr id="4912" name="BC$K$123#GR">
            <a:extLst>
              <a:ext uri="{FF2B5EF4-FFF2-40B4-BE49-F238E27FC236}">
                <a16:creationId xmlns:a16="http://schemas.microsoft.com/office/drawing/2014/main" id="{8AAB6332-FEB5-4151-9D5B-08C12BEED003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4910" name="BC$K$123#GR">
              <a:extLst>
                <a:ext uri="{FF2B5EF4-FFF2-40B4-BE49-F238E27FC236}">
                  <a16:creationId xmlns:a16="http://schemas.microsoft.com/office/drawing/2014/main" id="{38FDD420-825C-4FE6-B224-05382F27A1E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4908" name="BC$K$123#GR">
                <a:extLst>
                  <a:ext uri="{FF2B5EF4-FFF2-40B4-BE49-F238E27FC236}">
                    <a16:creationId xmlns:a16="http://schemas.microsoft.com/office/drawing/2014/main" id="{37E0B44B-78B2-4A75-A856-6F497442098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4906" name="BC$K$123#GR">
                  <a:extLst>
                    <a:ext uri="{FF2B5EF4-FFF2-40B4-BE49-F238E27FC236}">
                      <a16:creationId xmlns:a16="http://schemas.microsoft.com/office/drawing/2014/main" id="{04F9DBF1-E311-44EE-BD82-96146AA124A7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4904" name="BC$K$123#GR">
                    <a:extLst>
                      <a:ext uri="{FF2B5EF4-FFF2-40B4-BE49-F238E27FC236}">
                        <a16:creationId xmlns:a16="http://schemas.microsoft.com/office/drawing/2014/main" id="{D4B6C2C1-5291-4804-8AAE-37B085BB717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4902" name="BC$K$123#GR">
                      <a:extLst>
                        <a:ext uri="{FF2B5EF4-FFF2-40B4-BE49-F238E27FC236}">
                          <a16:creationId xmlns:a16="http://schemas.microsoft.com/office/drawing/2014/main" id="{B8FFE114-E3E0-40CF-A645-EF1B7FE75099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4900" name="BC$K$123#GR">
                        <a:extLst>
                          <a:ext uri="{FF2B5EF4-FFF2-40B4-BE49-F238E27FC236}">
                            <a16:creationId xmlns:a16="http://schemas.microsoft.com/office/drawing/2014/main" id="{E84B8642-101A-4A87-8FBB-755E5CFAB55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4898" name="BC$K$123#GR">
                          <a:extLst>
                            <a:ext uri="{FF2B5EF4-FFF2-40B4-BE49-F238E27FC236}">
                              <a16:creationId xmlns:a16="http://schemas.microsoft.com/office/drawing/2014/main" id="{F07A5DFE-E0C2-428A-836A-A8A09F7786E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4896" name="BC$K$123#GR">
                            <a:extLst>
                              <a:ext uri="{FF2B5EF4-FFF2-40B4-BE49-F238E27FC236}">
                                <a16:creationId xmlns:a16="http://schemas.microsoft.com/office/drawing/2014/main" id="{850CC333-8910-4793-9947-34DB85765A2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4894" name="BC$K$123#GR">
                              <a:extLst>
                                <a:ext uri="{FF2B5EF4-FFF2-40B4-BE49-F238E27FC236}">
                                  <a16:creationId xmlns:a16="http://schemas.microsoft.com/office/drawing/2014/main" id="{59C8EC19-6EAB-49FE-9D5F-EE8E7067380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4892" name="BC$K$123#GR">
                                <a:extLst>
                                  <a:ext uri="{FF2B5EF4-FFF2-40B4-BE49-F238E27FC236}">
                                    <a16:creationId xmlns:a16="http://schemas.microsoft.com/office/drawing/2014/main" id="{62B7CC57-456F-4DC6-8412-37EAF11D54E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4890" name="BC$K$123#GR">
                                  <a:extLst>
                                    <a:ext uri="{FF2B5EF4-FFF2-40B4-BE49-F238E27FC236}">
                                      <a16:creationId xmlns:a16="http://schemas.microsoft.com/office/drawing/2014/main" id="{B7096721-F78A-4A77-A4BF-14597A37AD3B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4888" name="BC$K$123#GR">
                                    <a:extLst>
                                      <a:ext uri="{FF2B5EF4-FFF2-40B4-BE49-F238E27FC236}">
                                        <a16:creationId xmlns:a16="http://schemas.microsoft.com/office/drawing/2014/main" id="{CF9A580B-B25D-421D-A0BA-14DEC9098C03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4886" name="BC$K$123#GR">
                                      <a:extLst>
                                        <a:ext uri="{FF2B5EF4-FFF2-40B4-BE49-F238E27FC236}">
                                          <a16:creationId xmlns:a16="http://schemas.microsoft.com/office/drawing/2014/main" id="{481B796F-67A5-49D6-A424-26C8165965EA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4884" name="BC$K$12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136415E-72DF-4954-88A8-B55E115A3D1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4882" name="BC$K$12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1ADB672-99E2-45BD-BF8C-09608DEE2CC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4880" name="BC$K$12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CC19C22-BC02-43A8-A9BC-7DF6420EF99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4878" name="BC$K$12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E3B6AA1-97F2-4136-9AB6-6EB49511F80C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4876" name="BC$K$12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87D77F4-3194-4CBA-9911-681FC51B471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4874" name="BC$K$12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D072C86-AF6D-4601-B40C-E10D03C3C3D9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872" name="BC$K$12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3D2D6EF-7B29-4DE1-8F2F-DFC55A2194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870" name="BC$K$12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FD1357D-EA70-49D2-8A67-09ACB2AD048C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868" name="BC$K$12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548CE10-5C50-400D-B53E-914FB0BD50C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866" name="BC$K$12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B39CA3C-B461-402C-A316-B6BF63712EC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864" name="BC$K$12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D9DB34F-F83C-40A0-96BE-0AE4F50ABC2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862" name="BC$K$12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85803A5-5B99-4C6F-AF8C-5E39FCFFA21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860" name="BC$K$12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C4D5D29-6FFF-4790-B8B2-12FE66956DA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858" name="BC$K$12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ADF8654-70F9-4741-96BB-822844C1464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856" name="BC$K$12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4A1F423-CBC7-400F-8EBC-F5E6BE8AE7F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854" name="BC$K$12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58D960A-A41C-4D59-95DF-B344577CEDA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852" name="BC$K$12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58C9C0F-A94F-48DA-A409-FF5AAFF6EE1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4850" name="BC$K$12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BC051B3-642F-4053-9832-F0DAFB02213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4848" name="BC$K$12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A1317E2-5CD2-4297-8246-741544CC157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4846" name="BC$K$12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89C0937-5CCB-4317-A7AA-E7E9835B87D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4844" name="BC$K$12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160B1A8-E0EE-44B9-A631-BDB72634003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4842" name="BC$K$12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932AC9F-7E29-4554-BF40-B86255E9ADF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840" name="BC$K$123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2FD46C0-18A3-40E4-A05D-F81EFAA7AC5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838" name="BC$K$123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16C2FD10-B2FF-4B6B-BF85-50A4FDB36938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836" name="BC$K$123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714CCFA-506E-496E-A7D8-8F7E06938E24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837" name="BC$K$123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9B3A7EF-FA9F-42B1-8DD9-C893795368E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839" name="BC$K$123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ECA2F019-3966-462A-90C8-670756FD4DA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841" name="BC$K$123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ADC1EF8-4956-453A-ADDB-4A8CDE76D00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4843" name="BC$K$123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6ED452B-D299-46CC-B5B3-18AAF1119EF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4845" name="BC$K$123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9D5B60C-C1A6-4EA6-812F-CEA87D7E83E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4847" name="BC$K$123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F92009B-7B91-4FCE-9288-25E5EE99087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4849" name="BC$K$123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DA16901-EEA0-4EC2-9CC8-2A66D10F126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4851" name="BC$K$123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3C95CE4-B8BA-4A85-8EDC-9832137E2E4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853" name="BC$K$123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0C7224D-DC7D-48D8-A526-6839A7A30C9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855" name="BC$K$123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8C37723-3A39-42C8-B8CB-37C2D6AD743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857" name="BC$K$123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E1FF9DC-117D-4989-9241-C150E424117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859" name="BC$K$123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AA90EB8-B268-4489-A782-4D1E326278F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861" name="BC$K$123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CFC32BA-68A7-48DE-973C-76AFCC53C06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863" name="BC$K$123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C9226C3-974A-4356-9099-A236E848680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4865" name="BC$K$123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56054FC-40F7-46EC-84BF-08D20A0EE2C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867" name="BC$K$123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02371FA-A2B9-4A92-93B1-6F56A0B0679D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869" name="BC$K$123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95095FF-74FB-4CF7-A314-A43C31AD74D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871" name="BC$K$123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0915DED-CE27-4E5E-A8FA-F3CF208416B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873" name="BC$K$123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BA94453-780B-4CD3-9ED3-624CFFA2E921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4875" name="BC$K$123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90ABB5B-1B93-4475-B7D4-EF459E691087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4877" name="BC$K$123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2242BFC-6D9F-4D59-862D-511564832A7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4879" name="BC$K$123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2C7E2FF-A3B0-43E6-8168-4DF925E918E1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881" name="BC$K$123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9B3D47C-47AB-49B2-BF74-B1E450CD799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4883" name="BC$K$123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5D88FCA-9F39-46F5-A97B-F705AE14692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4885" name="BC$K$123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C9A9C36-5143-4E17-AA36-D8C5A8084569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4887" name="BC$K$123#BR26">
                                      <a:extLst>
                                        <a:ext uri="{FF2B5EF4-FFF2-40B4-BE49-F238E27FC236}">
                                          <a16:creationId xmlns:a16="http://schemas.microsoft.com/office/drawing/2014/main" id="{29ED9F74-B16B-4E0A-A87F-B4158258109B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4889" name="BC$K$123#BR27">
                                    <a:extLst>
                                      <a:ext uri="{FF2B5EF4-FFF2-40B4-BE49-F238E27FC236}">
                                        <a16:creationId xmlns:a16="http://schemas.microsoft.com/office/drawing/2014/main" id="{EC3CD4D3-02A7-4530-A835-53B5D39378A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891" name="BC$K$123#BR28">
                                  <a:extLst>
                                    <a:ext uri="{FF2B5EF4-FFF2-40B4-BE49-F238E27FC236}">
                                      <a16:creationId xmlns:a16="http://schemas.microsoft.com/office/drawing/2014/main" id="{C211320E-B63A-47B7-ACB0-8174FBEF9D9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893" name="BC$K$123#BR29">
                                <a:extLst>
                                  <a:ext uri="{FF2B5EF4-FFF2-40B4-BE49-F238E27FC236}">
                                    <a16:creationId xmlns:a16="http://schemas.microsoft.com/office/drawing/2014/main" id="{36F2020E-16DF-4692-882B-52BB3D7A8C5B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895" name="BC$K$123#BR30">
                              <a:extLst>
                                <a:ext uri="{FF2B5EF4-FFF2-40B4-BE49-F238E27FC236}">
                                  <a16:creationId xmlns:a16="http://schemas.microsoft.com/office/drawing/2014/main" id="{C44509D1-2E2F-43B3-AAA7-3BF4AEAF576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4897" name="BC$K$123#BR31">
                            <a:extLst>
                              <a:ext uri="{FF2B5EF4-FFF2-40B4-BE49-F238E27FC236}">
                                <a16:creationId xmlns:a16="http://schemas.microsoft.com/office/drawing/2014/main" id="{455082DC-DC44-470E-97FC-76995E1B493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4899" name="BC$K$123#BR32">
                          <a:extLst>
                            <a:ext uri="{FF2B5EF4-FFF2-40B4-BE49-F238E27FC236}">
                              <a16:creationId xmlns:a16="http://schemas.microsoft.com/office/drawing/2014/main" id="{1113830F-366B-4733-B8E3-413324F8253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4901" name="BC$K$123#BR33">
                        <a:extLst>
                          <a:ext uri="{FF2B5EF4-FFF2-40B4-BE49-F238E27FC236}">
                            <a16:creationId xmlns:a16="http://schemas.microsoft.com/office/drawing/2014/main" id="{1C79F146-177B-4DFA-B28B-389E2C3D60C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4903" name="BC$K$123#BR34">
                      <a:extLst>
                        <a:ext uri="{FF2B5EF4-FFF2-40B4-BE49-F238E27FC236}">
                          <a16:creationId xmlns:a16="http://schemas.microsoft.com/office/drawing/2014/main" id="{B20F4000-7F8F-498F-8E90-CE7353A9411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4905" name="BC$K$123#BR35">
                    <a:extLst>
                      <a:ext uri="{FF2B5EF4-FFF2-40B4-BE49-F238E27FC236}">
                        <a16:creationId xmlns:a16="http://schemas.microsoft.com/office/drawing/2014/main" id="{D48A3BCE-06A8-4832-994C-B44042132ED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4907" name="BC$K$123#BR36">
                  <a:extLst>
                    <a:ext uri="{FF2B5EF4-FFF2-40B4-BE49-F238E27FC236}">
                      <a16:creationId xmlns:a16="http://schemas.microsoft.com/office/drawing/2014/main" id="{1069CCA8-A400-4D1F-B25F-B33A79F8E24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4909" name="BC$K$123#BR37">
                <a:extLst>
                  <a:ext uri="{FF2B5EF4-FFF2-40B4-BE49-F238E27FC236}">
                    <a16:creationId xmlns:a16="http://schemas.microsoft.com/office/drawing/2014/main" id="{AA8D7DAD-2EE3-4DCE-A746-A82AEF05727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911" name="BC$K$123#BR38">
              <a:extLst>
                <a:ext uri="{FF2B5EF4-FFF2-40B4-BE49-F238E27FC236}">
                  <a16:creationId xmlns:a16="http://schemas.microsoft.com/office/drawing/2014/main" id="{73D76D23-992C-41E8-970C-DAA43F1A861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913" name="BC$K$123#BR39">
            <a:extLst>
              <a:ext uri="{FF2B5EF4-FFF2-40B4-BE49-F238E27FC236}">
                <a16:creationId xmlns:a16="http://schemas.microsoft.com/office/drawing/2014/main" id="{BD1F33EE-F0A3-43D7-9AFE-309E764B4161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41413</xdr:colOff>
      <xdr:row>129</xdr:row>
      <xdr:rowOff>0</xdr:rowOff>
    </xdr:from>
    <xdr:to>
      <xdr:col>27</xdr:col>
      <xdr:colOff>203338</xdr:colOff>
      <xdr:row>131</xdr:row>
      <xdr:rowOff>0</xdr:rowOff>
    </xdr:to>
    <xdr:grpSp>
      <xdr:nvGrpSpPr>
        <xdr:cNvPr id="4993" name="BC$Y$123#GR">
          <a:extLst>
            <a:ext uri="{FF2B5EF4-FFF2-40B4-BE49-F238E27FC236}">
              <a16:creationId xmlns:a16="http://schemas.microsoft.com/office/drawing/2014/main" id="{1D0D1BC1-FCBD-4602-8DBD-8C0550C67619}"/>
            </a:ext>
          </a:extLst>
        </xdr:cNvPr>
        <xdr:cNvGrpSpPr/>
      </xdr:nvGrpSpPr>
      <xdr:grpSpPr>
        <a:xfrm>
          <a:off x="5784988" y="24479250"/>
          <a:ext cx="381000" cy="381000"/>
          <a:chOff x="0" y="0"/>
          <a:chExt cx="381000" cy="381000"/>
        </a:xfrm>
      </xdr:grpSpPr>
      <xdr:grpSp>
        <xdr:nvGrpSpPr>
          <xdr:cNvPr id="4991" name="BC$Y$123#GR">
            <a:extLst>
              <a:ext uri="{FF2B5EF4-FFF2-40B4-BE49-F238E27FC236}">
                <a16:creationId xmlns:a16="http://schemas.microsoft.com/office/drawing/2014/main" id="{A8C2B60B-97FF-4C4E-B7A4-247D70DEF1E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4989" name="BC$Y$123#GR">
              <a:extLst>
                <a:ext uri="{FF2B5EF4-FFF2-40B4-BE49-F238E27FC236}">
                  <a16:creationId xmlns:a16="http://schemas.microsoft.com/office/drawing/2014/main" id="{7A386285-EC3E-4AA9-A518-3BBB38C0AD1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4987" name="BC$Y$123#GR">
                <a:extLst>
                  <a:ext uri="{FF2B5EF4-FFF2-40B4-BE49-F238E27FC236}">
                    <a16:creationId xmlns:a16="http://schemas.microsoft.com/office/drawing/2014/main" id="{15DCD9C0-8A14-484F-816E-8150D12327A7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4985" name="BC$Y$123#GR">
                  <a:extLst>
                    <a:ext uri="{FF2B5EF4-FFF2-40B4-BE49-F238E27FC236}">
                      <a16:creationId xmlns:a16="http://schemas.microsoft.com/office/drawing/2014/main" id="{A8DB0B0F-3DDB-4C47-969B-B68A1F7E206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4983" name="BC$Y$123#GR">
                    <a:extLst>
                      <a:ext uri="{FF2B5EF4-FFF2-40B4-BE49-F238E27FC236}">
                        <a16:creationId xmlns:a16="http://schemas.microsoft.com/office/drawing/2014/main" id="{44EFB82A-DB9D-4AB3-8F50-AA69209D55E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4981" name="BC$Y$123#GR">
                      <a:extLst>
                        <a:ext uri="{FF2B5EF4-FFF2-40B4-BE49-F238E27FC236}">
                          <a16:creationId xmlns:a16="http://schemas.microsoft.com/office/drawing/2014/main" id="{C76DDDEE-1E10-4D74-A63D-89AE718D027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4979" name="BC$Y$123#GR">
                        <a:extLst>
                          <a:ext uri="{FF2B5EF4-FFF2-40B4-BE49-F238E27FC236}">
                            <a16:creationId xmlns:a16="http://schemas.microsoft.com/office/drawing/2014/main" id="{6B272314-C6C4-419B-8CE2-22D7CD741D7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4977" name="BC$Y$123#GR">
                          <a:extLst>
                            <a:ext uri="{FF2B5EF4-FFF2-40B4-BE49-F238E27FC236}">
                              <a16:creationId xmlns:a16="http://schemas.microsoft.com/office/drawing/2014/main" id="{EE813D30-1A6B-47A5-A41F-97A31B4C607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4975" name="BC$Y$123#GR">
                            <a:extLst>
                              <a:ext uri="{FF2B5EF4-FFF2-40B4-BE49-F238E27FC236}">
                                <a16:creationId xmlns:a16="http://schemas.microsoft.com/office/drawing/2014/main" id="{7B1659EC-E84E-4944-8A2C-709F2BCB322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4973" name="BC$Y$123#GR">
                              <a:extLst>
                                <a:ext uri="{FF2B5EF4-FFF2-40B4-BE49-F238E27FC236}">
                                  <a16:creationId xmlns:a16="http://schemas.microsoft.com/office/drawing/2014/main" id="{9DDAE823-9499-4D00-AED5-673D5E9FC50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4971" name="BC$Y$123#GR">
                                <a:extLst>
                                  <a:ext uri="{FF2B5EF4-FFF2-40B4-BE49-F238E27FC236}">
                                    <a16:creationId xmlns:a16="http://schemas.microsoft.com/office/drawing/2014/main" id="{2B5FF2D8-64A7-449A-8AD3-7100F5ECE12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4969" name="BC$Y$123#GR">
                                  <a:extLst>
                                    <a:ext uri="{FF2B5EF4-FFF2-40B4-BE49-F238E27FC236}">
                                      <a16:creationId xmlns:a16="http://schemas.microsoft.com/office/drawing/2014/main" id="{5BFB164D-1606-487C-A794-4A05135EAECC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4967" name="BC$Y$123#GR">
                                    <a:extLst>
                                      <a:ext uri="{FF2B5EF4-FFF2-40B4-BE49-F238E27FC236}">
                                        <a16:creationId xmlns:a16="http://schemas.microsoft.com/office/drawing/2014/main" id="{E68FED69-9B2C-47E2-8E5E-E4FE45127251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4965" name="BC$Y$123#GR">
                                      <a:extLst>
                                        <a:ext uri="{FF2B5EF4-FFF2-40B4-BE49-F238E27FC236}">
                                          <a16:creationId xmlns:a16="http://schemas.microsoft.com/office/drawing/2014/main" id="{95AD54A5-60AC-4689-ABBD-26258FB2E25B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4963" name="BC$Y$12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023973B-56AB-4209-B9E0-2B73F07704F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4961" name="BC$Y$12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B3ED6C6-67EC-474F-9AC4-390CB2EC035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4959" name="BC$Y$12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9C473BE-5A14-4E23-8D71-09F0B892D84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4957" name="BC$Y$12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F33B9F0-47C2-4196-AAFD-DD8F208FF439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4955" name="BC$Y$12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4CA70CD-B04E-459B-AA40-D63CD684C002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4953" name="BC$Y$12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6026869-4623-405A-AE68-A09E4385E766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951" name="BC$Y$12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A1124AF-D269-4825-9FE1-64612D7A014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949" name="BC$Y$12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8CE12E6-E277-4630-AD7C-5DE31772E4E4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947" name="BC$Y$12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78861F0-23F5-47DF-BF0B-CEF37AFD57CD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945" name="BC$Y$12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3580437-2F43-4A0D-AA60-D26C825EFCAB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4943" name="BC$Y$12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02CF4CA-0397-4175-8FB8-73934DF4F9A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4941" name="BC$Y$12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11F16CB-B53C-48A5-A4B6-99EEAA9C1CF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4939" name="BC$Y$12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870B4F2-C55E-4023-8493-F6F9E4713E4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4937" name="BC$Y$12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ED84B6D-F636-4B3D-8C53-2B0B5C412C9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4935" name="BC$Y$12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17C60DF-D4D4-4FE9-B903-3C5215AC6E4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4933" name="BC$Y$12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19ED336-5A6C-4FB5-9BF6-C1212D3A95B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4931" name="BC$Y$12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0340A0E-BBBF-44FE-A7AA-37250A9430B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4929" name="BC$Y$12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1159AC5-8E65-4B0A-9330-374FE5F2822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4927" name="BC$Y$12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E2E2115-BC17-4B03-8AFF-3974145B97B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4925" name="BC$Y$12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4456BB8-4287-4B1F-8032-ABD9DB73A9F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4923" name="BC$Y$12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0958023-925C-4EBB-A464-EBCBA1ECFF6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4921" name="BC$Y$12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50DD0BF-A11E-456C-9C91-5CAD2E4AC65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919" name="BC$Y$123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0BB6ACD-360A-41DC-A490-6230A066C96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917" name="BC$Y$123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05632B4-B623-4F93-9A86-781BD995A87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915" name="BC$Y$123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F2585A4-1FA3-4C1B-981D-4308780E1E16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916" name="BC$Y$123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9E04095-B3F7-422F-8E3A-0CAF7300867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918" name="BC$Y$123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6760EA2C-8B66-415D-8381-F200D38D7F9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920" name="BC$Y$123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925106B-0F66-4EF9-88E9-E46196B738E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4922" name="BC$Y$123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F89F036-FFC0-4F11-AD0C-74BCD2FCE6B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4924" name="BC$Y$123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3FE7A83-6F22-4EB0-AB39-DCAF559E75B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4926" name="BC$Y$123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26E1264-91CC-4193-877B-E66A84A43D4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4928" name="BC$Y$123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AE6A422-9EA2-4E73-9271-CB17DD06EFD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4930" name="BC$Y$123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5CF72A6-CB09-4547-9E37-EB592EAF35D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4932" name="BC$Y$123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554B3A9-110B-41CA-8D4F-11E3642D147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4934" name="BC$Y$123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6A189CC-1DD5-4384-902A-A2AB7B9D9A1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4936" name="BC$Y$123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01FFDB0-6F13-45BF-8824-AD3170266F9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4938" name="BC$Y$123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5A90285-B53D-4969-A614-A4DBE8377EC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4940" name="BC$Y$123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7D570682-FEAC-46C4-B4C0-F5111F39221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4942" name="BC$Y$123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C1CF175-F873-4618-90B3-351C9A31001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4944" name="BC$Y$123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1053AB0-4B7E-4D7B-8C1F-66FEA17342A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946" name="BC$Y$123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BF6AF67-C57F-4111-ABDE-1ECBE771215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948" name="BC$Y$123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1BD79E7-9048-4521-89D1-5486C7B97EE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950" name="BC$Y$123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53C0750-85B4-4D29-8558-CF660910A2F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952" name="BC$Y$123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22F9A38-1047-42C9-AF66-B4A6255D9D0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4954" name="BC$Y$123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AD1E34D-0D48-4507-8EC1-2AE8A1979759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4956" name="BC$Y$123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298596F-B8CA-4DA0-BF80-99FAD29341C6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4958" name="BC$Y$123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9BA7D7E-175D-4398-9A69-A63B39B582A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960" name="BC$Y$123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975038E-7A4C-42D9-B0A0-AD1C0458915D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4962" name="BC$Y$123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2ECA7EB-7880-4DAE-BE09-6A9255C92C2F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4964" name="BC$Y$123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B057323-47A4-4E83-960D-BD9156C4E336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4966" name="BC$Y$123#BR26">
                                      <a:extLst>
                                        <a:ext uri="{FF2B5EF4-FFF2-40B4-BE49-F238E27FC236}">
                                          <a16:creationId xmlns:a16="http://schemas.microsoft.com/office/drawing/2014/main" id="{946A6E91-3E82-4209-A108-345DCA11252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4968" name="BC$Y$123#BR27">
                                    <a:extLst>
                                      <a:ext uri="{FF2B5EF4-FFF2-40B4-BE49-F238E27FC236}">
                                        <a16:creationId xmlns:a16="http://schemas.microsoft.com/office/drawing/2014/main" id="{6EC3133B-D42E-4E03-B543-0A4F9996F0C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970" name="BC$Y$123#BR28">
                                  <a:extLst>
                                    <a:ext uri="{FF2B5EF4-FFF2-40B4-BE49-F238E27FC236}">
                                      <a16:creationId xmlns:a16="http://schemas.microsoft.com/office/drawing/2014/main" id="{5BD33001-E1C5-41D5-9D32-FA53BC36868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972" name="BC$Y$123#BR29">
                                <a:extLst>
                                  <a:ext uri="{FF2B5EF4-FFF2-40B4-BE49-F238E27FC236}">
                                    <a16:creationId xmlns:a16="http://schemas.microsoft.com/office/drawing/2014/main" id="{54611903-26D1-4206-B882-0A1C5CC491D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974" name="BC$Y$123#BR30">
                              <a:extLst>
                                <a:ext uri="{FF2B5EF4-FFF2-40B4-BE49-F238E27FC236}">
                                  <a16:creationId xmlns:a16="http://schemas.microsoft.com/office/drawing/2014/main" id="{A31ACB8A-ABF6-4EB8-A952-87372644C6A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4976" name="BC$Y$123#BR31">
                            <a:extLst>
                              <a:ext uri="{FF2B5EF4-FFF2-40B4-BE49-F238E27FC236}">
                                <a16:creationId xmlns:a16="http://schemas.microsoft.com/office/drawing/2014/main" id="{7E7C5F7E-44A5-4027-A63D-6EB0A09925D1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4978" name="BC$Y$123#BR32">
                          <a:extLst>
                            <a:ext uri="{FF2B5EF4-FFF2-40B4-BE49-F238E27FC236}">
                              <a16:creationId xmlns:a16="http://schemas.microsoft.com/office/drawing/2014/main" id="{1DF96E88-5D1D-43AE-9320-D0FB7D17DFB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4980" name="BC$Y$123#BR33">
                        <a:extLst>
                          <a:ext uri="{FF2B5EF4-FFF2-40B4-BE49-F238E27FC236}">
                            <a16:creationId xmlns:a16="http://schemas.microsoft.com/office/drawing/2014/main" id="{3990DF2D-B1F9-4DA4-8D75-0CF9610AB89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4982" name="BC$Y$123#BR34">
                      <a:extLst>
                        <a:ext uri="{FF2B5EF4-FFF2-40B4-BE49-F238E27FC236}">
                          <a16:creationId xmlns:a16="http://schemas.microsoft.com/office/drawing/2014/main" id="{508C21DB-2A0E-4413-AF46-70816AEDEE5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4984" name="BC$Y$123#BR35">
                    <a:extLst>
                      <a:ext uri="{FF2B5EF4-FFF2-40B4-BE49-F238E27FC236}">
                        <a16:creationId xmlns:a16="http://schemas.microsoft.com/office/drawing/2014/main" id="{38112AA9-DFAE-4DC0-A139-0F79A11EFD3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4986" name="BC$Y$123#BR36">
                  <a:extLst>
                    <a:ext uri="{FF2B5EF4-FFF2-40B4-BE49-F238E27FC236}">
                      <a16:creationId xmlns:a16="http://schemas.microsoft.com/office/drawing/2014/main" id="{BDC9FE0D-3B5C-4258-9638-9F12CB441CD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4988" name="BC$Y$123#BR37">
                <a:extLst>
                  <a:ext uri="{FF2B5EF4-FFF2-40B4-BE49-F238E27FC236}">
                    <a16:creationId xmlns:a16="http://schemas.microsoft.com/office/drawing/2014/main" id="{D4C8F23C-9804-4FB9-B46D-3F917D0D161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990" name="BC$Y$123#BR38">
              <a:extLst>
                <a:ext uri="{FF2B5EF4-FFF2-40B4-BE49-F238E27FC236}">
                  <a16:creationId xmlns:a16="http://schemas.microsoft.com/office/drawing/2014/main" id="{101F92BF-C37B-4580-8911-023A7B9C1D2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992" name="BC$Y$123#BR39">
            <a:extLst>
              <a:ext uri="{FF2B5EF4-FFF2-40B4-BE49-F238E27FC236}">
                <a16:creationId xmlns:a16="http://schemas.microsoft.com/office/drawing/2014/main" id="{84677AF5-9F40-4B7A-8265-99C9062C647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49696</xdr:colOff>
      <xdr:row>140</xdr:row>
      <xdr:rowOff>0</xdr:rowOff>
    </xdr:from>
    <xdr:to>
      <xdr:col>13</xdr:col>
      <xdr:colOff>211621</xdr:colOff>
      <xdr:row>142</xdr:row>
      <xdr:rowOff>0</xdr:rowOff>
    </xdr:to>
    <xdr:grpSp>
      <xdr:nvGrpSpPr>
        <xdr:cNvPr id="5072" name="BC$K$134#GR">
          <a:extLst>
            <a:ext uri="{FF2B5EF4-FFF2-40B4-BE49-F238E27FC236}">
              <a16:creationId xmlns:a16="http://schemas.microsoft.com/office/drawing/2014/main" id="{0B60E930-E558-4DE8-A08D-12C11C1CFB6A}"/>
            </a:ext>
          </a:extLst>
        </xdr:cNvPr>
        <xdr:cNvGrpSpPr/>
      </xdr:nvGrpSpPr>
      <xdr:grpSpPr>
        <a:xfrm>
          <a:off x="2678596" y="26574750"/>
          <a:ext cx="381000" cy="381000"/>
          <a:chOff x="0" y="0"/>
          <a:chExt cx="381000" cy="381000"/>
        </a:xfrm>
      </xdr:grpSpPr>
      <xdr:grpSp>
        <xdr:nvGrpSpPr>
          <xdr:cNvPr id="5070" name="BC$K$134#GR">
            <a:extLst>
              <a:ext uri="{FF2B5EF4-FFF2-40B4-BE49-F238E27FC236}">
                <a16:creationId xmlns:a16="http://schemas.microsoft.com/office/drawing/2014/main" id="{18491B4B-FA4A-4AB6-90D1-28A130CF494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5068" name="BC$K$134#GR">
              <a:extLst>
                <a:ext uri="{FF2B5EF4-FFF2-40B4-BE49-F238E27FC236}">
                  <a16:creationId xmlns:a16="http://schemas.microsoft.com/office/drawing/2014/main" id="{80D82201-4194-439A-9826-438091806E20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5066" name="BC$K$134#GR">
                <a:extLst>
                  <a:ext uri="{FF2B5EF4-FFF2-40B4-BE49-F238E27FC236}">
                    <a16:creationId xmlns:a16="http://schemas.microsoft.com/office/drawing/2014/main" id="{241EA0F5-FE58-42D6-8171-5CD5F648732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5064" name="BC$K$134#GR">
                  <a:extLst>
                    <a:ext uri="{FF2B5EF4-FFF2-40B4-BE49-F238E27FC236}">
                      <a16:creationId xmlns:a16="http://schemas.microsoft.com/office/drawing/2014/main" id="{509183FF-791D-48BD-AA28-60749CF3AA1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5062" name="BC$K$134#GR">
                    <a:extLst>
                      <a:ext uri="{FF2B5EF4-FFF2-40B4-BE49-F238E27FC236}">
                        <a16:creationId xmlns:a16="http://schemas.microsoft.com/office/drawing/2014/main" id="{426D6CC5-302C-40DB-BDE5-46D55C8A50F5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5060" name="BC$K$134#GR">
                      <a:extLst>
                        <a:ext uri="{FF2B5EF4-FFF2-40B4-BE49-F238E27FC236}">
                          <a16:creationId xmlns:a16="http://schemas.microsoft.com/office/drawing/2014/main" id="{DA99920A-A0D2-452C-B6ED-BB1795F6930B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5058" name="BC$K$134#GR">
                        <a:extLst>
                          <a:ext uri="{FF2B5EF4-FFF2-40B4-BE49-F238E27FC236}">
                            <a16:creationId xmlns:a16="http://schemas.microsoft.com/office/drawing/2014/main" id="{9FF05CE8-24C5-4C01-8C6C-39A8D6AF415A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5056" name="BC$K$134#GR">
                          <a:extLst>
                            <a:ext uri="{FF2B5EF4-FFF2-40B4-BE49-F238E27FC236}">
                              <a16:creationId xmlns:a16="http://schemas.microsoft.com/office/drawing/2014/main" id="{4469E654-5BE2-4097-A2FE-FB70268EFEB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5054" name="BC$K$134#GR">
                            <a:extLst>
                              <a:ext uri="{FF2B5EF4-FFF2-40B4-BE49-F238E27FC236}">
                                <a16:creationId xmlns:a16="http://schemas.microsoft.com/office/drawing/2014/main" id="{A30F3AA2-5D33-47A4-8B02-A82E9AB0F6E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5052" name="BC$K$134#GR">
                              <a:extLst>
                                <a:ext uri="{FF2B5EF4-FFF2-40B4-BE49-F238E27FC236}">
                                  <a16:creationId xmlns:a16="http://schemas.microsoft.com/office/drawing/2014/main" id="{18BCF70A-9DD8-4792-8710-4B309D2C6931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5050" name="BC$K$134#GR">
                                <a:extLst>
                                  <a:ext uri="{FF2B5EF4-FFF2-40B4-BE49-F238E27FC236}">
                                    <a16:creationId xmlns:a16="http://schemas.microsoft.com/office/drawing/2014/main" id="{CFAC140D-18F7-444B-B569-6AB22CA6B7E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5048" name="BC$K$134#GR">
                                  <a:extLst>
                                    <a:ext uri="{FF2B5EF4-FFF2-40B4-BE49-F238E27FC236}">
                                      <a16:creationId xmlns:a16="http://schemas.microsoft.com/office/drawing/2014/main" id="{5BB8C312-CEE0-470B-BA1E-B4D2DA8B5BDC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5046" name="BC$K$134#GR">
                                    <a:extLst>
                                      <a:ext uri="{FF2B5EF4-FFF2-40B4-BE49-F238E27FC236}">
                                        <a16:creationId xmlns:a16="http://schemas.microsoft.com/office/drawing/2014/main" id="{E76800CD-C005-44C6-A6ED-7A9965BE5E2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5044" name="BC$K$134#GR">
                                      <a:extLst>
                                        <a:ext uri="{FF2B5EF4-FFF2-40B4-BE49-F238E27FC236}">
                                          <a16:creationId xmlns:a16="http://schemas.microsoft.com/office/drawing/2014/main" id="{500573B9-DE4D-4233-A25F-354608A2E664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5042" name="BC$K$13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C9A83DD-9D15-4279-B0C1-80F6549049C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5040" name="BC$K$13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F11F1E1-745C-46F9-8E69-1FFFF39BA7D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5038" name="BC$K$13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1D47F14-F706-48EA-B7C0-DB13C860CBD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5036" name="BC$K$13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DBB2409-5BEA-44A3-BDBE-D948D8D80F9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5034" name="BC$K$13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8462199-C366-40D0-A62F-52ABDB43753B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5032" name="BC$K$13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9D8D9F6-34D7-4035-8BDD-4418E4800A5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5030" name="BC$K$13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04A820B-60C6-45F1-8027-39AE8F83E4F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5028" name="BC$K$13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7A8D3E6-4DFE-41DE-B1AA-EF3CA663A3C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5026" name="BC$K$13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2F47EC0-EDC0-42DA-A50F-CAC1FE0D3F7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5024" name="BC$K$13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8F669B8-6F7F-47B7-B5B9-8CA1C338D67F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5022" name="BC$K$13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51DB400-71E9-421E-B781-01A48D5BE37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5020" name="BC$K$13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0730DC8-48A8-45D7-AFB5-F1F73F64508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5018" name="BC$K$13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863F2E2-DDB9-4504-8D0B-523A8A39A85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5016" name="BC$K$13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86143B1-4A88-4A54-9787-31043D0A2E4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5014" name="BC$K$13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89B1F6C-C38A-4015-BB10-471C884A710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5012" name="BC$K$13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5EF1893-A26C-47F6-9EF4-975C9C3C29B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5010" name="BC$K$13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A904CAC-A908-48A5-B92A-8EEB20DB6C6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5008" name="BC$K$13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B70E3B7-9A57-48ED-AC78-F752EB41BC4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5006" name="BC$K$13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69FF015-0F1C-49EA-9FF9-0E513558E7D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5004" name="BC$K$13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7F12F84-86D4-47D8-9012-E1D1032BB71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5002" name="BC$K$13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0C2EC43-071B-4D1F-B091-CF34B0BCB36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5000" name="BC$K$13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A811A2F-ABF0-4670-A6B7-ACF59C8A0D2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4998" name="BC$K$134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D7141A8-714B-4579-A380-FE3FB2B2CA7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996" name="BC$K$134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DD0315E-8543-4950-88D3-2ABEC7E9304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994" name="BC$K$134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9E4C29BF-0121-4AD7-BAB4-7D7E581FA4D4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4995" name="BC$K$134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3756F1D-E6DA-4F15-87E3-F6EA86FE7B3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4997" name="BC$K$134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CFD3E12-3E1C-4787-8D15-E6223B97E727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4999" name="BC$K$134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0D0B73B-29EC-4733-83AA-7D054C218B1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5001" name="BC$K$134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0B8164B-8747-4A16-BCF0-FC05B10FB94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5003" name="BC$K$134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AF60EDE-27CB-4CE4-8171-A3340956EC5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5005" name="BC$K$134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A60F6EB-2C8A-4753-8AA1-C636FD831DA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5007" name="BC$K$134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8056235-6265-4925-8F94-631D2184EF0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5009" name="BC$K$134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7503F12-4AD9-4C2B-B786-CB3AC5969C5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5011" name="BC$K$134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F308FA6-B377-4C15-9CB9-0530D27E14D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5013" name="BC$K$134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F53BD3D-660D-475A-B836-0DB5FBB64F7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5015" name="BC$K$134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DE23742-7278-47FB-83E5-8B442E33611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5017" name="BC$K$134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7FEDDFA-6B48-44F3-AEA5-5D419104234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5019" name="BC$K$134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1719F7F-EDB9-4851-B830-B53370D9C58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5021" name="BC$K$134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E27FBED-75FB-411F-B34F-8E030A6DF92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5023" name="BC$K$134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A11B81E-5647-4139-8296-558213E7B0E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5025" name="BC$K$134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730C247-88D4-4CF1-93F3-6E402C552EE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5027" name="BC$K$134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C129704-A39D-4049-952A-33AB986A8A4B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5029" name="BC$K$134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6870C65-D500-41D1-90AC-D4E9230E6CC2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5031" name="BC$K$134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56824CC-63D7-416F-9AED-B8384A17A2F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5033" name="BC$K$134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E51DC89-343C-406E-BBA0-966FE21191EC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5035" name="BC$K$134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EE18B07-089A-4DE0-8F59-BA4B4DD1D79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5037" name="BC$K$134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CA38C72-E656-4586-A129-4F9A45E4E81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5039" name="BC$K$134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9E91E7D-8A05-467C-AAFF-06AC60D186A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5041" name="BC$K$134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B67F56F-3C8F-482D-AE79-58D0F634893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5043" name="BC$K$134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79992CE-359B-4171-98F9-C48D9A65B19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5045" name="BC$K$134#BR26">
                                      <a:extLst>
                                        <a:ext uri="{FF2B5EF4-FFF2-40B4-BE49-F238E27FC236}">
                                          <a16:creationId xmlns:a16="http://schemas.microsoft.com/office/drawing/2014/main" id="{1DF0AF67-6FAB-4842-A232-B184371E897C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5047" name="BC$K$134#BR27">
                                    <a:extLst>
                                      <a:ext uri="{FF2B5EF4-FFF2-40B4-BE49-F238E27FC236}">
                                        <a16:creationId xmlns:a16="http://schemas.microsoft.com/office/drawing/2014/main" id="{D040DECA-73AE-4106-8C0C-05DA4B11C2C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5049" name="BC$K$134#BR28">
                                  <a:extLst>
                                    <a:ext uri="{FF2B5EF4-FFF2-40B4-BE49-F238E27FC236}">
                                      <a16:creationId xmlns:a16="http://schemas.microsoft.com/office/drawing/2014/main" id="{C0072F6B-4394-452F-BC7E-580ADADCCF0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5051" name="BC$K$134#BR29">
                                <a:extLst>
                                  <a:ext uri="{FF2B5EF4-FFF2-40B4-BE49-F238E27FC236}">
                                    <a16:creationId xmlns:a16="http://schemas.microsoft.com/office/drawing/2014/main" id="{485E105B-1652-493E-80C1-8824CEF218B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5053" name="BC$K$134#BR30">
                              <a:extLst>
                                <a:ext uri="{FF2B5EF4-FFF2-40B4-BE49-F238E27FC236}">
                                  <a16:creationId xmlns:a16="http://schemas.microsoft.com/office/drawing/2014/main" id="{D8A5542A-9297-4765-B1CD-179C9187424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5055" name="BC$K$134#BR31">
                            <a:extLst>
                              <a:ext uri="{FF2B5EF4-FFF2-40B4-BE49-F238E27FC236}">
                                <a16:creationId xmlns:a16="http://schemas.microsoft.com/office/drawing/2014/main" id="{D309225A-5C26-49C0-89F4-39876C8AA87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5057" name="BC$K$134#BR32">
                          <a:extLst>
                            <a:ext uri="{FF2B5EF4-FFF2-40B4-BE49-F238E27FC236}">
                              <a16:creationId xmlns:a16="http://schemas.microsoft.com/office/drawing/2014/main" id="{4B1CDBC5-3F27-42FD-9C9F-30640FA3163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5059" name="BC$K$134#BR33">
                        <a:extLst>
                          <a:ext uri="{FF2B5EF4-FFF2-40B4-BE49-F238E27FC236}">
                            <a16:creationId xmlns:a16="http://schemas.microsoft.com/office/drawing/2014/main" id="{1B8DC561-7D58-41A2-AD25-154BFB5284DB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5061" name="BC$K$134#BR34">
                      <a:extLst>
                        <a:ext uri="{FF2B5EF4-FFF2-40B4-BE49-F238E27FC236}">
                          <a16:creationId xmlns:a16="http://schemas.microsoft.com/office/drawing/2014/main" id="{AC4C0433-0D75-4840-8A68-BACF32DE8D61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5063" name="BC$K$134#BR35">
                    <a:extLst>
                      <a:ext uri="{FF2B5EF4-FFF2-40B4-BE49-F238E27FC236}">
                        <a16:creationId xmlns:a16="http://schemas.microsoft.com/office/drawing/2014/main" id="{6E556EC7-03C1-4BFA-A9E9-1DC1D28B345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5065" name="BC$K$134#BR36">
                  <a:extLst>
                    <a:ext uri="{FF2B5EF4-FFF2-40B4-BE49-F238E27FC236}">
                      <a16:creationId xmlns:a16="http://schemas.microsoft.com/office/drawing/2014/main" id="{C18AA0E4-8788-4D3B-B03A-8E46FF8D649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5067" name="BC$K$134#BR37">
                <a:extLst>
                  <a:ext uri="{FF2B5EF4-FFF2-40B4-BE49-F238E27FC236}">
                    <a16:creationId xmlns:a16="http://schemas.microsoft.com/office/drawing/2014/main" id="{36BC1D09-3330-4E14-ACB5-418ED3C2A15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069" name="BC$K$134#BR38">
              <a:extLst>
                <a:ext uri="{FF2B5EF4-FFF2-40B4-BE49-F238E27FC236}">
                  <a16:creationId xmlns:a16="http://schemas.microsoft.com/office/drawing/2014/main" id="{EB4DEE31-81E8-4C53-8729-C8C3E29E85B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071" name="BC$K$134#BR39">
            <a:extLst>
              <a:ext uri="{FF2B5EF4-FFF2-40B4-BE49-F238E27FC236}">
                <a16:creationId xmlns:a16="http://schemas.microsoft.com/office/drawing/2014/main" id="{B582D828-284B-4830-878F-B870B61AFE5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41413</xdr:colOff>
      <xdr:row>140</xdr:row>
      <xdr:rowOff>8283</xdr:rowOff>
    </xdr:from>
    <xdr:to>
      <xdr:col>27</xdr:col>
      <xdr:colOff>203338</xdr:colOff>
      <xdr:row>142</xdr:row>
      <xdr:rowOff>8283</xdr:rowOff>
    </xdr:to>
    <xdr:grpSp>
      <xdr:nvGrpSpPr>
        <xdr:cNvPr id="5151" name="BC$Y$134#GR">
          <a:extLst>
            <a:ext uri="{FF2B5EF4-FFF2-40B4-BE49-F238E27FC236}">
              <a16:creationId xmlns:a16="http://schemas.microsoft.com/office/drawing/2014/main" id="{27944BA4-478A-4F1B-B59F-8203A673B430}"/>
            </a:ext>
          </a:extLst>
        </xdr:cNvPr>
        <xdr:cNvGrpSpPr/>
      </xdr:nvGrpSpPr>
      <xdr:grpSpPr>
        <a:xfrm>
          <a:off x="5784988" y="26583033"/>
          <a:ext cx="381000" cy="381000"/>
          <a:chOff x="0" y="0"/>
          <a:chExt cx="381000" cy="381000"/>
        </a:xfrm>
      </xdr:grpSpPr>
      <xdr:grpSp>
        <xdr:nvGrpSpPr>
          <xdr:cNvPr id="5149" name="BC$Y$134#GR">
            <a:extLst>
              <a:ext uri="{FF2B5EF4-FFF2-40B4-BE49-F238E27FC236}">
                <a16:creationId xmlns:a16="http://schemas.microsoft.com/office/drawing/2014/main" id="{D357A61F-6D38-48E4-8639-96DAD426844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5147" name="BC$Y$134#GR">
              <a:extLst>
                <a:ext uri="{FF2B5EF4-FFF2-40B4-BE49-F238E27FC236}">
                  <a16:creationId xmlns:a16="http://schemas.microsoft.com/office/drawing/2014/main" id="{27F5138B-ADF7-4758-BD91-7DB1AB4B778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5145" name="BC$Y$134#GR">
                <a:extLst>
                  <a:ext uri="{FF2B5EF4-FFF2-40B4-BE49-F238E27FC236}">
                    <a16:creationId xmlns:a16="http://schemas.microsoft.com/office/drawing/2014/main" id="{0FFE8576-032C-4F4C-B75F-3316C105A4C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5143" name="BC$Y$134#GR">
                  <a:extLst>
                    <a:ext uri="{FF2B5EF4-FFF2-40B4-BE49-F238E27FC236}">
                      <a16:creationId xmlns:a16="http://schemas.microsoft.com/office/drawing/2014/main" id="{5CB4BAC9-5A21-49E1-B461-46E3A43E451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5141" name="BC$Y$134#GR">
                    <a:extLst>
                      <a:ext uri="{FF2B5EF4-FFF2-40B4-BE49-F238E27FC236}">
                        <a16:creationId xmlns:a16="http://schemas.microsoft.com/office/drawing/2014/main" id="{CB5F8009-08A7-485F-8F00-629E2800684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5139" name="BC$Y$134#GR">
                      <a:extLst>
                        <a:ext uri="{FF2B5EF4-FFF2-40B4-BE49-F238E27FC236}">
                          <a16:creationId xmlns:a16="http://schemas.microsoft.com/office/drawing/2014/main" id="{2EDCA493-123D-457A-BF60-F2B1A5339529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5137" name="BC$Y$134#GR">
                        <a:extLst>
                          <a:ext uri="{FF2B5EF4-FFF2-40B4-BE49-F238E27FC236}">
                            <a16:creationId xmlns:a16="http://schemas.microsoft.com/office/drawing/2014/main" id="{4586124C-95A1-41DF-A150-BE4DCE0E800D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5135" name="BC$Y$134#GR">
                          <a:extLst>
                            <a:ext uri="{FF2B5EF4-FFF2-40B4-BE49-F238E27FC236}">
                              <a16:creationId xmlns:a16="http://schemas.microsoft.com/office/drawing/2014/main" id="{D7EEAA7C-ECC9-457A-A574-70FA9F9EAD6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5133" name="BC$Y$134#GR">
                            <a:extLst>
                              <a:ext uri="{FF2B5EF4-FFF2-40B4-BE49-F238E27FC236}">
                                <a16:creationId xmlns:a16="http://schemas.microsoft.com/office/drawing/2014/main" id="{87FEDFA7-1069-45E4-BCD1-004E558EC8D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5131" name="BC$Y$134#GR">
                              <a:extLst>
                                <a:ext uri="{FF2B5EF4-FFF2-40B4-BE49-F238E27FC236}">
                                  <a16:creationId xmlns:a16="http://schemas.microsoft.com/office/drawing/2014/main" id="{AFCAE270-0F49-4993-92E5-3375B7B662A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5129" name="BC$Y$134#GR">
                                <a:extLst>
                                  <a:ext uri="{FF2B5EF4-FFF2-40B4-BE49-F238E27FC236}">
                                    <a16:creationId xmlns:a16="http://schemas.microsoft.com/office/drawing/2014/main" id="{C1B853D4-9951-4FDD-8783-E81B7E1F08C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5127" name="BC$Y$134#GR">
                                  <a:extLst>
                                    <a:ext uri="{FF2B5EF4-FFF2-40B4-BE49-F238E27FC236}">
                                      <a16:creationId xmlns:a16="http://schemas.microsoft.com/office/drawing/2014/main" id="{39875593-6FA1-4716-9B3B-B2696C223B4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5125" name="BC$Y$134#GR">
                                    <a:extLst>
                                      <a:ext uri="{FF2B5EF4-FFF2-40B4-BE49-F238E27FC236}">
                                        <a16:creationId xmlns:a16="http://schemas.microsoft.com/office/drawing/2014/main" id="{C182A868-C5BE-48B7-867E-C83EE6441848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5123" name="BC$Y$134#GR">
                                      <a:extLst>
                                        <a:ext uri="{FF2B5EF4-FFF2-40B4-BE49-F238E27FC236}">
                                          <a16:creationId xmlns:a16="http://schemas.microsoft.com/office/drawing/2014/main" id="{E916C673-4E47-43CC-8C16-CFC27E63E48A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5121" name="BC$Y$13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E6FF80F-C7A5-488A-A013-E674B7554E8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5119" name="BC$Y$13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3EDEB92-E2A6-4F53-A635-EE62596D9046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5117" name="BC$Y$13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ACC4641-587A-4A6A-934F-4251D01D4197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5115" name="BC$Y$13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25DFDFF-5794-45CB-A647-252CFD460FF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5113" name="BC$Y$13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62702E7-BA03-45F7-9E08-690F7A145BA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5111" name="BC$Y$13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F5A28C8-F28D-4FF7-A5BB-E0B879BFEEB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5109" name="BC$Y$13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ECEA696-BA0D-4EA1-9204-F26811045A4A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5107" name="BC$Y$13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1D68605-49B3-42C9-8E8A-FF3D127A5AA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5105" name="BC$Y$13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3693A03-4D4F-4455-A8E7-2A44282A8BBF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5103" name="BC$Y$13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6378B72-7517-4C57-B937-CC480127F9A3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5101" name="BC$Y$13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55497A62-0C50-470D-A969-5EBE5EDBC85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5099" name="BC$Y$13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127C5B4-303C-4BDD-A83B-6C649D7F64B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5097" name="BC$Y$13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0D7F38F-521C-49AB-9C6B-E5073E69B39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5095" name="BC$Y$13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5387D20-7694-4B29-BC02-FE5127D68C5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5093" name="BC$Y$13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5D256EF-AF00-479B-A2FF-41F5553F72D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5091" name="BC$Y$13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068DD01-E33E-4E01-AE30-AB3FC3662A2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5089" name="BC$Y$13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AF0CEF9-587A-419B-B227-8A718F103D4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5087" name="BC$Y$13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534020C-4D6D-470C-A09C-C553456A496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5085" name="BC$Y$13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56219B2-01D6-42CE-BAD8-6B8391F79B6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5083" name="BC$Y$13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8A12FFA-BC09-409C-8E2E-DA12F3610BB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5081" name="BC$Y$13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A51D9EF-AEF9-4AE7-A0F2-EAEB3210EA5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5079" name="BC$Y$13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8BE227E-D565-4F49-9177-F6DE885C03C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5077" name="BC$Y$134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8B8E9E3-4C0E-4A3A-BD3C-EBCC7F8EFD0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5075" name="BC$Y$134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E6AD3464-03C0-4400-A15E-88B4932DEE6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073" name="BC$Y$134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0A5A27B-DC5C-4AC0-A791-4DB1FB33FA47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074" name="BC$Y$134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3C5DC3E-C5F4-47C2-8608-A9E784B8FD7B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5076" name="BC$Y$134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E9BE174F-5951-4717-8877-3005AC1FE9A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5078" name="BC$Y$134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2A1151F-5EB8-45C6-929F-BF63136597E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5080" name="BC$Y$134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FA49CED-0AF4-41A0-845A-594F25E5E88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5082" name="BC$Y$134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5959177-C6C3-40B7-95E9-43D5D8AA9F7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5084" name="BC$Y$134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EB7CF01-FE4D-4730-BEFA-F5B1BB7E4C0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5086" name="BC$Y$134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D5E0488-9556-497A-AD80-904F5E62FB0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5088" name="BC$Y$134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2755E5E-3C5F-4D5B-B2A0-53A1E5C312B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5090" name="BC$Y$134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982CF50-2CFF-4CC2-8B06-8DB6D12DFA2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5092" name="BC$Y$134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4BA1529-5BF8-4805-8278-1FBC5AA0FEE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5094" name="BC$Y$134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FA0E0F3-932D-4A7C-A91B-1FECA616212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5096" name="BC$Y$134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DD0550B-EA82-415B-93D3-AD5C68B0218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5098" name="BC$Y$134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46BF11E-CCA1-40B6-9028-4924A9B0625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5100" name="BC$Y$134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C02277E-D637-4230-B15D-C397747895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5102" name="BC$Y$134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BDFA4EB-0263-4575-A881-67DB194F9C0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5104" name="BC$Y$134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70CD67A-9381-4867-A62E-8CE2E96EA14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5106" name="BC$Y$134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3AAC294-A0E7-46A7-B804-3A09D7F8A562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5108" name="BC$Y$134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4B11545-BECE-43FD-84CB-358FDAD9474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5110" name="BC$Y$134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DCFA4EE-9F54-4299-ADA4-12BAD673DB9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5112" name="BC$Y$134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178FA4F-C07D-4364-AC0D-5BFFE351E4B7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5114" name="BC$Y$134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1948C4B-8C53-4E85-A23B-716779DD8DB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5116" name="BC$Y$134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D6FDF09-457C-4C29-8C37-3CC43A5856D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5118" name="BC$Y$134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CC57543-EBC4-4D5E-9005-ADDC03C7C09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5120" name="BC$Y$134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E3535A3-B4DE-45CD-8637-1773AB2B2E0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5122" name="BC$Y$134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FBBA236-EA6F-481C-BBAC-7C51924188D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5124" name="BC$Y$134#BR26">
                                      <a:extLst>
                                        <a:ext uri="{FF2B5EF4-FFF2-40B4-BE49-F238E27FC236}">
                                          <a16:creationId xmlns:a16="http://schemas.microsoft.com/office/drawing/2014/main" id="{223E506E-8698-4FFE-8ACB-2A60BC068B3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5126" name="BC$Y$134#BR27">
                                    <a:extLst>
                                      <a:ext uri="{FF2B5EF4-FFF2-40B4-BE49-F238E27FC236}">
                                        <a16:creationId xmlns:a16="http://schemas.microsoft.com/office/drawing/2014/main" id="{3840A27C-1018-4230-A70C-412DC6AA54D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5128" name="BC$Y$134#BR28">
                                  <a:extLst>
                                    <a:ext uri="{FF2B5EF4-FFF2-40B4-BE49-F238E27FC236}">
                                      <a16:creationId xmlns:a16="http://schemas.microsoft.com/office/drawing/2014/main" id="{B278F55B-2F02-47DC-981E-79E0DFE9AD4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5130" name="BC$Y$134#BR29">
                                <a:extLst>
                                  <a:ext uri="{FF2B5EF4-FFF2-40B4-BE49-F238E27FC236}">
                                    <a16:creationId xmlns:a16="http://schemas.microsoft.com/office/drawing/2014/main" id="{FABC15AD-F6BF-410E-8BD9-45E1C78CD8EF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5132" name="BC$Y$134#BR30">
                              <a:extLst>
                                <a:ext uri="{FF2B5EF4-FFF2-40B4-BE49-F238E27FC236}">
                                  <a16:creationId xmlns:a16="http://schemas.microsoft.com/office/drawing/2014/main" id="{995CF1E4-4192-45B7-AA37-4B64BF86DD2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5134" name="BC$Y$134#BR31">
                            <a:extLst>
                              <a:ext uri="{FF2B5EF4-FFF2-40B4-BE49-F238E27FC236}">
                                <a16:creationId xmlns:a16="http://schemas.microsoft.com/office/drawing/2014/main" id="{6CCDDEC1-D7C3-4BBD-AF86-D30CEB2FAD0C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5136" name="BC$Y$134#BR32">
                          <a:extLst>
                            <a:ext uri="{FF2B5EF4-FFF2-40B4-BE49-F238E27FC236}">
                              <a16:creationId xmlns:a16="http://schemas.microsoft.com/office/drawing/2014/main" id="{36EA8D88-D977-4829-AD90-71995D1A5D8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5138" name="BC$Y$134#BR33">
                        <a:extLst>
                          <a:ext uri="{FF2B5EF4-FFF2-40B4-BE49-F238E27FC236}">
                            <a16:creationId xmlns:a16="http://schemas.microsoft.com/office/drawing/2014/main" id="{F1F24BA9-CEA2-4911-9046-A14EB084E2F1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5140" name="BC$Y$134#BR34">
                      <a:extLst>
                        <a:ext uri="{FF2B5EF4-FFF2-40B4-BE49-F238E27FC236}">
                          <a16:creationId xmlns:a16="http://schemas.microsoft.com/office/drawing/2014/main" id="{254E5BC0-0688-4EBC-BCEF-89B892E841B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5142" name="BC$Y$134#BR35">
                    <a:extLst>
                      <a:ext uri="{FF2B5EF4-FFF2-40B4-BE49-F238E27FC236}">
                        <a16:creationId xmlns:a16="http://schemas.microsoft.com/office/drawing/2014/main" id="{AC5A4280-B446-488F-BECD-2B6AB3C8435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5144" name="BC$Y$134#BR36">
                  <a:extLst>
                    <a:ext uri="{FF2B5EF4-FFF2-40B4-BE49-F238E27FC236}">
                      <a16:creationId xmlns:a16="http://schemas.microsoft.com/office/drawing/2014/main" id="{5F62E56E-665A-4E6F-97EB-D96B5E10BF6A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5146" name="BC$Y$134#BR37">
                <a:extLst>
                  <a:ext uri="{FF2B5EF4-FFF2-40B4-BE49-F238E27FC236}">
                    <a16:creationId xmlns:a16="http://schemas.microsoft.com/office/drawing/2014/main" id="{1501423B-0190-4C6F-8513-94796EC6A31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148" name="BC$Y$134#BR38">
              <a:extLst>
                <a:ext uri="{FF2B5EF4-FFF2-40B4-BE49-F238E27FC236}">
                  <a16:creationId xmlns:a16="http://schemas.microsoft.com/office/drawing/2014/main" id="{B0D74020-42F8-450A-ABDA-6E1AEC6DC97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150" name="BC$Y$134#BR39">
            <a:extLst>
              <a:ext uri="{FF2B5EF4-FFF2-40B4-BE49-F238E27FC236}">
                <a16:creationId xmlns:a16="http://schemas.microsoft.com/office/drawing/2014/main" id="{911DA8E8-4DDF-47B8-AA66-B17AE124884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41413</xdr:colOff>
      <xdr:row>162</xdr:row>
      <xdr:rowOff>8283</xdr:rowOff>
    </xdr:from>
    <xdr:to>
      <xdr:col>13</xdr:col>
      <xdr:colOff>203338</xdr:colOff>
      <xdr:row>164</xdr:row>
      <xdr:rowOff>8283</xdr:rowOff>
    </xdr:to>
    <xdr:grpSp>
      <xdr:nvGrpSpPr>
        <xdr:cNvPr id="5230" name="BC$K$156#GR">
          <a:extLst>
            <a:ext uri="{FF2B5EF4-FFF2-40B4-BE49-F238E27FC236}">
              <a16:creationId xmlns:a16="http://schemas.microsoft.com/office/drawing/2014/main" id="{24774DEA-ACA6-437B-91AE-FD24240E3E58}"/>
            </a:ext>
          </a:extLst>
        </xdr:cNvPr>
        <xdr:cNvGrpSpPr/>
      </xdr:nvGrpSpPr>
      <xdr:grpSpPr>
        <a:xfrm>
          <a:off x="2670313" y="30774033"/>
          <a:ext cx="381000" cy="381000"/>
          <a:chOff x="0" y="0"/>
          <a:chExt cx="381000" cy="381000"/>
        </a:xfrm>
      </xdr:grpSpPr>
      <xdr:grpSp>
        <xdr:nvGrpSpPr>
          <xdr:cNvPr id="5228" name="BC$K$156#GR">
            <a:extLst>
              <a:ext uri="{FF2B5EF4-FFF2-40B4-BE49-F238E27FC236}">
                <a16:creationId xmlns:a16="http://schemas.microsoft.com/office/drawing/2014/main" id="{41C67A29-1375-4AC7-A05B-8F79F68170B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5226" name="BC$K$156#GR">
              <a:extLst>
                <a:ext uri="{FF2B5EF4-FFF2-40B4-BE49-F238E27FC236}">
                  <a16:creationId xmlns:a16="http://schemas.microsoft.com/office/drawing/2014/main" id="{502A38C3-F61A-439A-8D01-27CC62B2222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5224" name="BC$K$156#GR">
                <a:extLst>
                  <a:ext uri="{FF2B5EF4-FFF2-40B4-BE49-F238E27FC236}">
                    <a16:creationId xmlns:a16="http://schemas.microsoft.com/office/drawing/2014/main" id="{CE95BF61-3311-415D-9A24-3FE7583DD36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5222" name="BC$K$156#GR">
                  <a:extLst>
                    <a:ext uri="{FF2B5EF4-FFF2-40B4-BE49-F238E27FC236}">
                      <a16:creationId xmlns:a16="http://schemas.microsoft.com/office/drawing/2014/main" id="{9ED6C3E2-6A6D-44E0-8ACD-9830CB9783C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5220" name="BC$K$156#GR">
                    <a:extLst>
                      <a:ext uri="{FF2B5EF4-FFF2-40B4-BE49-F238E27FC236}">
                        <a16:creationId xmlns:a16="http://schemas.microsoft.com/office/drawing/2014/main" id="{2EDDC865-A98C-4980-ABAF-6B5027B17E9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5218" name="BC$K$156#GR">
                      <a:extLst>
                        <a:ext uri="{FF2B5EF4-FFF2-40B4-BE49-F238E27FC236}">
                          <a16:creationId xmlns:a16="http://schemas.microsoft.com/office/drawing/2014/main" id="{926632AA-A473-40D2-AF67-64E117B0311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5216" name="BC$K$156#GR">
                        <a:extLst>
                          <a:ext uri="{FF2B5EF4-FFF2-40B4-BE49-F238E27FC236}">
                            <a16:creationId xmlns:a16="http://schemas.microsoft.com/office/drawing/2014/main" id="{F6E52460-CAE0-4C53-83F2-924FAD02EC8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5214" name="BC$K$156#GR">
                          <a:extLst>
                            <a:ext uri="{FF2B5EF4-FFF2-40B4-BE49-F238E27FC236}">
                              <a16:creationId xmlns:a16="http://schemas.microsoft.com/office/drawing/2014/main" id="{F608D96D-A773-4955-B7CD-AD1F8983B71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5212" name="BC$K$156#GR">
                            <a:extLst>
                              <a:ext uri="{FF2B5EF4-FFF2-40B4-BE49-F238E27FC236}">
                                <a16:creationId xmlns:a16="http://schemas.microsoft.com/office/drawing/2014/main" id="{836D439D-1387-47F7-9732-C3F9D1D368D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5210" name="BC$K$156#GR">
                              <a:extLst>
                                <a:ext uri="{FF2B5EF4-FFF2-40B4-BE49-F238E27FC236}">
                                  <a16:creationId xmlns:a16="http://schemas.microsoft.com/office/drawing/2014/main" id="{53B5AC91-E9B4-4ACB-A676-E31D1BABB6D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5208" name="BC$K$156#GR">
                                <a:extLst>
                                  <a:ext uri="{FF2B5EF4-FFF2-40B4-BE49-F238E27FC236}">
                                    <a16:creationId xmlns:a16="http://schemas.microsoft.com/office/drawing/2014/main" id="{28D55E35-F374-42D8-9EFA-A7FD44747CB5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5206" name="BC$K$156#GR">
                                  <a:extLst>
                                    <a:ext uri="{FF2B5EF4-FFF2-40B4-BE49-F238E27FC236}">
                                      <a16:creationId xmlns:a16="http://schemas.microsoft.com/office/drawing/2014/main" id="{EE40BF52-69F5-42C1-A140-025AFD9C550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5204" name="BC$K$156#GR">
                                    <a:extLst>
                                      <a:ext uri="{FF2B5EF4-FFF2-40B4-BE49-F238E27FC236}">
                                        <a16:creationId xmlns:a16="http://schemas.microsoft.com/office/drawing/2014/main" id="{31B8BB22-9020-4FDC-BCA6-04B99F3D346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5202" name="BC$K$156#GR">
                                      <a:extLst>
                                        <a:ext uri="{FF2B5EF4-FFF2-40B4-BE49-F238E27FC236}">
                                          <a16:creationId xmlns:a16="http://schemas.microsoft.com/office/drawing/2014/main" id="{2F0A27AD-0704-49CD-A14C-6293E731A98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5200" name="BC$K$15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BCBD525-B844-45A5-A33B-939F541EB9E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5198" name="BC$K$15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6B44CB7-5230-4AE2-BDBE-9529C0AC57A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5196" name="BC$K$15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250D5C5-5AA4-4A95-B31F-B292A6E4374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5194" name="BC$K$15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546B281-4445-4FA1-AC7C-E343C60E64A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5192" name="BC$K$15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9C65E37-DC18-4D09-808B-9F1368522D6E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5190" name="BC$K$15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58CBE09-8D81-4802-B3EA-567718AD249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5188" name="BC$K$15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AEECCD5-34F4-476F-8890-0BA78E43AFD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5186" name="BC$K$15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40962D2-7379-4DDA-89B5-B364BE048A02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5184" name="BC$K$15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64EE6B2-3DBB-4E5F-B873-56CC6D4A8038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5182" name="BC$K$15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B7C616D-BEB8-47E1-ABBD-4C984D8E5C3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5180" name="BC$K$15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436D6BD-62A0-4258-AF13-136D6ACEAE2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5178" name="BC$K$15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1686A65-E69C-4403-8606-14D42556DCC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5176" name="BC$K$15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C16F4A3-1522-4C3A-BBBB-445EC1366A6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5174" name="BC$K$15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C8C22C3-A591-4103-83D5-C486FD26FCC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5172" name="BC$K$15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15CB42F-D032-4D84-A9A1-68B2E5D63F4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5170" name="BC$K$15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6C90E97-DEAF-4A2D-94BE-2594FD157DD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5168" name="BC$K$15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E3F86EA-EA91-48E3-B33C-7FE7EBDD08E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5166" name="BC$K$15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9319127-D94A-491B-8815-410FC47EE2A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5164" name="BC$K$15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AC7E4D7-27FF-419C-ACC6-E5BCFA456E3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5162" name="BC$K$15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DAE61E7-AE38-4EE3-AFB3-26E377B086C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5160" name="BC$K$15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A627946-6866-4DB4-92EC-380825A84BB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5158" name="BC$K$15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8C7E6F3-20FA-44BF-B0A6-BEF4C3F39DA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5156" name="BC$K$156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04613CA-71CB-409B-86B1-753EBA09D51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5154" name="BC$K$156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291B1CC-2925-4685-8665-1DF1A992E6F5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152" name="BC$K$156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ACF9A1C-56C1-423D-8095-3A4416502798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153" name="BC$K$156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C8231B9-FAAC-4E37-AE65-9CCF7CA90179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5155" name="BC$K$156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F02CAF4-D5FE-457F-ABC4-779A0404CF3A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5157" name="BC$K$156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5D50AD1-82D3-49BA-A1E8-104BDB085C4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5159" name="BC$K$156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99036CE-D723-474C-9412-0917D49AE35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5161" name="BC$K$156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A6A8DCF-39A2-456F-A921-978980BCF84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5163" name="BC$K$156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D1C7C2B-D55D-4A86-8838-7B9C7A9234A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5165" name="BC$K$156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0BC5197-9C85-48BA-82E7-B757EB35379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5167" name="BC$K$156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4F28E48-AF4F-45CA-B3B1-B590A15C179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5169" name="BC$K$156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E220B2B-19AF-4F1D-97A3-D49FF7DC182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5171" name="BC$K$156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88CC0BE-01BD-4004-A1EE-24F579FEED0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5173" name="BC$K$156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450CDC4-1C9C-4C60-80D3-831C7690383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5175" name="BC$K$156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7412BA2-96CB-4918-802C-F2AA12493BA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5177" name="BC$K$156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742174E-8760-4D35-AC83-A32B3E60221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5179" name="BC$K$156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BCCFFA8-72F3-4264-B5AE-5AFFD7C4F11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5181" name="BC$K$156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2F75AA0-7A27-4CA0-8DEC-76AD9E72D96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5183" name="BC$K$156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0030BB6-9C13-44E1-8F33-738B728A119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5185" name="BC$K$156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4989116-AE43-4374-AB7C-89FDE8FA3D3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5187" name="BC$K$156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3E3B4C7-3A2E-4A17-903F-71B135C06ADB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5189" name="BC$K$156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3AD0CDE-81DB-4877-ADC8-1BD6BB094951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5191" name="BC$K$156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7D98198-0D41-41D2-BC7E-7CBBDEA72E5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5193" name="BC$K$156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1C7344B-D08F-47D1-98CB-3A95F97AEA85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5195" name="BC$K$156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5797E5F-E2DE-415B-A824-48949571FBE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5197" name="BC$K$156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79446DE-4D14-4BE5-8EF8-D42156C6DC9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5199" name="BC$K$156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5AC446E-6369-48F4-A8A5-DAF95A7426D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5201" name="BC$K$156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CBF0B44-227C-47EC-B2E6-5A14CB02DD4E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5203" name="BC$K$156#BR26">
                                      <a:extLst>
                                        <a:ext uri="{FF2B5EF4-FFF2-40B4-BE49-F238E27FC236}">
                                          <a16:creationId xmlns:a16="http://schemas.microsoft.com/office/drawing/2014/main" id="{3A3618F1-2F28-46F1-9AA1-55562BA1D54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5205" name="BC$K$156#BR27">
                                    <a:extLst>
                                      <a:ext uri="{FF2B5EF4-FFF2-40B4-BE49-F238E27FC236}">
                                        <a16:creationId xmlns:a16="http://schemas.microsoft.com/office/drawing/2014/main" id="{DA07E7AF-F96A-462A-8C23-16CC8022D6B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5207" name="BC$K$156#BR28">
                                  <a:extLst>
                                    <a:ext uri="{FF2B5EF4-FFF2-40B4-BE49-F238E27FC236}">
                                      <a16:creationId xmlns:a16="http://schemas.microsoft.com/office/drawing/2014/main" id="{20AEED41-55F4-4E23-81A7-C316A63428E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5209" name="BC$K$156#BR29">
                                <a:extLst>
                                  <a:ext uri="{FF2B5EF4-FFF2-40B4-BE49-F238E27FC236}">
                                    <a16:creationId xmlns:a16="http://schemas.microsoft.com/office/drawing/2014/main" id="{3AE631C5-58A1-4CA7-9503-BE0A6530798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5211" name="BC$K$156#BR30">
                              <a:extLst>
                                <a:ext uri="{FF2B5EF4-FFF2-40B4-BE49-F238E27FC236}">
                                  <a16:creationId xmlns:a16="http://schemas.microsoft.com/office/drawing/2014/main" id="{F1948FD1-0E87-4AF6-B867-1D1BA04FBDA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5213" name="BC$K$156#BR31">
                            <a:extLst>
                              <a:ext uri="{FF2B5EF4-FFF2-40B4-BE49-F238E27FC236}">
                                <a16:creationId xmlns:a16="http://schemas.microsoft.com/office/drawing/2014/main" id="{BD388EE3-9132-4BA4-8FCF-04A55C0CEB3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5215" name="BC$K$156#BR32">
                          <a:extLst>
                            <a:ext uri="{FF2B5EF4-FFF2-40B4-BE49-F238E27FC236}">
                              <a16:creationId xmlns:a16="http://schemas.microsoft.com/office/drawing/2014/main" id="{AF84E733-D3C3-4C62-A51F-951FD369640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5217" name="BC$K$156#BR33">
                        <a:extLst>
                          <a:ext uri="{FF2B5EF4-FFF2-40B4-BE49-F238E27FC236}">
                            <a16:creationId xmlns:a16="http://schemas.microsoft.com/office/drawing/2014/main" id="{08446420-B310-474A-ACE1-92399886D816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5219" name="BC$K$156#BR34">
                      <a:extLst>
                        <a:ext uri="{FF2B5EF4-FFF2-40B4-BE49-F238E27FC236}">
                          <a16:creationId xmlns:a16="http://schemas.microsoft.com/office/drawing/2014/main" id="{3A856738-CDC0-46CC-8C8F-C58D92D4AF0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5221" name="BC$K$156#BR35">
                    <a:extLst>
                      <a:ext uri="{FF2B5EF4-FFF2-40B4-BE49-F238E27FC236}">
                        <a16:creationId xmlns:a16="http://schemas.microsoft.com/office/drawing/2014/main" id="{F26FE819-20EB-4A26-AB73-060AD1DE29B4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5223" name="BC$K$156#BR36">
                  <a:extLst>
                    <a:ext uri="{FF2B5EF4-FFF2-40B4-BE49-F238E27FC236}">
                      <a16:creationId xmlns:a16="http://schemas.microsoft.com/office/drawing/2014/main" id="{F3B2FA7E-5B29-4ED5-A723-C3BA3DBBE5B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5225" name="BC$K$156#BR37">
                <a:extLst>
                  <a:ext uri="{FF2B5EF4-FFF2-40B4-BE49-F238E27FC236}">
                    <a16:creationId xmlns:a16="http://schemas.microsoft.com/office/drawing/2014/main" id="{9F74BEF1-7051-4D78-8EC2-CAAFBE36DCD3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227" name="BC$K$156#BR38">
              <a:extLst>
                <a:ext uri="{FF2B5EF4-FFF2-40B4-BE49-F238E27FC236}">
                  <a16:creationId xmlns:a16="http://schemas.microsoft.com/office/drawing/2014/main" id="{61FF3358-736C-44D5-8B16-24597B63E9D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229" name="BC$K$156#BR39">
            <a:extLst>
              <a:ext uri="{FF2B5EF4-FFF2-40B4-BE49-F238E27FC236}">
                <a16:creationId xmlns:a16="http://schemas.microsoft.com/office/drawing/2014/main" id="{1D944FB6-27BF-47DE-A469-88EC9A1D5857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33130</xdr:colOff>
      <xdr:row>162</xdr:row>
      <xdr:rowOff>0</xdr:rowOff>
    </xdr:from>
    <xdr:to>
      <xdr:col>27</xdr:col>
      <xdr:colOff>195055</xdr:colOff>
      <xdr:row>164</xdr:row>
      <xdr:rowOff>0</xdr:rowOff>
    </xdr:to>
    <xdr:grpSp>
      <xdr:nvGrpSpPr>
        <xdr:cNvPr id="5309" name="BC$Y$156#GR">
          <a:extLst>
            <a:ext uri="{FF2B5EF4-FFF2-40B4-BE49-F238E27FC236}">
              <a16:creationId xmlns:a16="http://schemas.microsoft.com/office/drawing/2014/main" id="{1366E400-79BD-4B34-895D-BE5B23F4A0FB}"/>
            </a:ext>
          </a:extLst>
        </xdr:cNvPr>
        <xdr:cNvGrpSpPr/>
      </xdr:nvGrpSpPr>
      <xdr:grpSpPr>
        <a:xfrm>
          <a:off x="5776705" y="30765750"/>
          <a:ext cx="381000" cy="381000"/>
          <a:chOff x="0" y="0"/>
          <a:chExt cx="381000" cy="381000"/>
        </a:xfrm>
      </xdr:grpSpPr>
      <xdr:grpSp>
        <xdr:nvGrpSpPr>
          <xdr:cNvPr id="5307" name="BC$Y$156#GR">
            <a:extLst>
              <a:ext uri="{FF2B5EF4-FFF2-40B4-BE49-F238E27FC236}">
                <a16:creationId xmlns:a16="http://schemas.microsoft.com/office/drawing/2014/main" id="{3DBDF7FE-45FA-48B5-8180-A50ABDAAEFA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5305" name="BC$Y$156#GR">
              <a:extLst>
                <a:ext uri="{FF2B5EF4-FFF2-40B4-BE49-F238E27FC236}">
                  <a16:creationId xmlns:a16="http://schemas.microsoft.com/office/drawing/2014/main" id="{BB62B558-5D08-405F-9500-A58B402AA364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5303" name="BC$Y$156#GR">
                <a:extLst>
                  <a:ext uri="{FF2B5EF4-FFF2-40B4-BE49-F238E27FC236}">
                    <a16:creationId xmlns:a16="http://schemas.microsoft.com/office/drawing/2014/main" id="{F64ABC4C-CB35-4D26-8CCC-B7542EDC3D06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5301" name="BC$Y$156#GR">
                  <a:extLst>
                    <a:ext uri="{FF2B5EF4-FFF2-40B4-BE49-F238E27FC236}">
                      <a16:creationId xmlns:a16="http://schemas.microsoft.com/office/drawing/2014/main" id="{F0342DB2-51E0-48E2-9727-4F759F6D117C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5299" name="BC$Y$156#GR">
                    <a:extLst>
                      <a:ext uri="{FF2B5EF4-FFF2-40B4-BE49-F238E27FC236}">
                        <a16:creationId xmlns:a16="http://schemas.microsoft.com/office/drawing/2014/main" id="{D46FBF5B-4B5F-4DDE-9193-1417810DA90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5297" name="BC$Y$156#GR">
                      <a:extLst>
                        <a:ext uri="{FF2B5EF4-FFF2-40B4-BE49-F238E27FC236}">
                          <a16:creationId xmlns:a16="http://schemas.microsoft.com/office/drawing/2014/main" id="{6B4F96B2-E8CE-4486-81C5-CE264C1F617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5295" name="BC$Y$156#GR">
                        <a:extLst>
                          <a:ext uri="{FF2B5EF4-FFF2-40B4-BE49-F238E27FC236}">
                            <a16:creationId xmlns:a16="http://schemas.microsoft.com/office/drawing/2014/main" id="{79E2D29D-C88C-4833-BA01-60BF9F130CA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5293" name="BC$Y$156#GR">
                          <a:extLst>
                            <a:ext uri="{FF2B5EF4-FFF2-40B4-BE49-F238E27FC236}">
                              <a16:creationId xmlns:a16="http://schemas.microsoft.com/office/drawing/2014/main" id="{67C50B91-EE30-485A-B5D1-67B68D9BF88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5291" name="BC$Y$156#GR">
                            <a:extLst>
                              <a:ext uri="{FF2B5EF4-FFF2-40B4-BE49-F238E27FC236}">
                                <a16:creationId xmlns:a16="http://schemas.microsoft.com/office/drawing/2014/main" id="{6A9AFF8B-9C02-47E2-A0B0-1FB0D263CE1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5289" name="BC$Y$156#GR">
                              <a:extLst>
                                <a:ext uri="{FF2B5EF4-FFF2-40B4-BE49-F238E27FC236}">
                                  <a16:creationId xmlns:a16="http://schemas.microsoft.com/office/drawing/2014/main" id="{B7A3FD53-EE5A-4E06-A48C-85D9C58C2DF1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5287" name="BC$Y$156#GR">
                                <a:extLst>
                                  <a:ext uri="{FF2B5EF4-FFF2-40B4-BE49-F238E27FC236}">
                                    <a16:creationId xmlns:a16="http://schemas.microsoft.com/office/drawing/2014/main" id="{BF68A7A8-DEB0-45CF-B7C2-51D19334A12E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5285" name="BC$Y$156#GR">
                                  <a:extLst>
                                    <a:ext uri="{FF2B5EF4-FFF2-40B4-BE49-F238E27FC236}">
                                      <a16:creationId xmlns:a16="http://schemas.microsoft.com/office/drawing/2014/main" id="{71BBADA7-5CD8-4AC5-A455-2711AB81B42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5283" name="BC$Y$156#GR">
                                    <a:extLst>
                                      <a:ext uri="{FF2B5EF4-FFF2-40B4-BE49-F238E27FC236}">
                                        <a16:creationId xmlns:a16="http://schemas.microsoft.com/office/drawing/2014/main" id="{4E5568C0-9ACA-4B56-AC33-4CB33370F06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5281" name="BC$Y$156#GR">
                                      <a:extLst>
                                        <a:ext uri="{FF2B5EF4-FFF2-40B4-BE49-F238E27FC236}">
                                          <a16:creationId xmlns:a16="http://schemas.microsoft.com/office/drawing/2014/main" id="{179167DD-5059-4834-AB08-53E10F688E3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5279" name="BC$Y$15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776D646-8778-4972-809C-7D045C492EC4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5277" name="BC$Y$15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1C82B08-3C08-4420-AB8C-0BEDD4EC7C9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5275" name="BC$Y$15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4CFD625-D2D3-4B01-BF59-9C23501A8E6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5273" name="BC$Y$15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41AA8B0-3BBE-4ABC-9741-006BF861892A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5271" name="BC$Y$15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C06861E-36B9-4C48-A861-5D2782D3649E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5269" name="BC$Y$15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872C30B-A5FE-486E-BF9C-6F386AC65F5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5267" name="BC$Y$15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3F6F0FA-BA76-4008-B667-5A2CA81065F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5265" name="BC$Y$15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B81CFD7-2540-485E-8A14-76089CA3DE2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5263" name="BC$Y$15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D012189-5910-4650-98BA-CEE7BD48BE31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5261" name="BC$Y$15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4B11FA9-AE47-425B-BB73-158FDCA00A7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5259" name="BC$Y$15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D03345B-EF0B-4130-976D-E0CF7202B05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5257" name="BC$Y$15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4345FFE-5EB8-4184-BD2C-49B7FFF86A8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5255" name="BC$Y$15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EFC9AED-A666-4BD7-B060-7EC052734FA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5253" name="BC$Y$15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AA4310C-A495-4FD7-A7D5-AFA4F9FEE36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5251" name="BC$Y$15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2A897CD-1E3A-4A8F-BB47-E27B2309545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5249" name="BC$Y$15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169BF91-CC3F-49AC-991D-154DE9AC2B2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5247" name="BC$Y$15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1221476-AB91-4FD2-B07D-9341F481778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5245" name="BC$Y$15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BA7C9FD-FF8C-421F-8791-C26D6C3F4D6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5243" name="BC$Y$15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6339B3B-7BF7-4061-9371-AD81DB67FAC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5241" name="BC$Y$15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7E4FCCB-54B6-4643-BCA9-199F8503AD6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5239" name="BC$Y$15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1B3EF88-71D1-4055-9398-3D20E60152B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5237" name="BC$Y$15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A51DB5E-B478-4B60-8438-2C55C807EC4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5235" name="BC$Y$156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3647A7D-E7FA-4452-A420-6CFC6501881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5233" name="BC$Y$156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93C0E5E-DFFF-4485-AFFC-EAF3F597A54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231" name="BC$Y$156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A91DA853-AC34-4BDE-BD3F-0E747046C48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232" name="BC$Y$156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9E07424A-DE31-4576-8A02-9C34939D5EE8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5234" name="BC$Y$156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36049409-76CC-489B-B748-8FFC80671934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5236" name="BC$Y$156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18F67EB-FC12-4623-B11E-46EDFFC24D1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5238" name="BC$Y$156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13BB22A-D7AC-4186-ACF1-3E366B5FE7D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5240" name="BC$Y$156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827E114-7E04-4A62-90D3-CA6CB14D50C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5242" name="BC$Y$156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C5083D9-CAB1-48C4-BDE0-1D0EA0A2BBD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5244" name="BC$Y$156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3F9D991-182B-4E2B-B983-140890C2868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5246" name="BC$Y$156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18E9AC1-7FE6-4357-8AF5-53A5E8260B8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5248" name="BC$Y$156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7C49FCA-CD82-497B-A551-6A30B5467A2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5250" name="BC$Y$156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75C8EE5-0FF2-423A-872D-BFB46C0FA1D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5252" name="BC$Y$156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C02DDA4-A8FE-400F-9E15-2958C41DD34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5254" name="BC$Y$156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D3854A0-18C2-4E7C-BB00-26749C4C8AA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5256" name="BC$Y$156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BE29FB2-5250-4F5C-B381-2D865936B35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5258" name="BC$Y$156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3876BAD-7DF3-44FB-AD5E-51FBCFBA372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5260" name="BC$Y$156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3E96CC2-898E-4D44-BBC0-37A5E2DE37A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5262" name="BC$Y$156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B022E29-4362-472F-83A9-B10A4ABD017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5264" name="BC$Y$156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FFA1E2B-12A5-45EF-A116-D87A87E366B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5266" name="BC$Y$156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1EBDB53-4A93-42B0-812A-113281FC1ED8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5268" name="BC$Y$156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948E05F-8704-44B8-BADC-A8C41F9957D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5270" name="BC$Y$156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FE97DE0-B39E-450F-9532-9F3DCD0ED87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5272" name="BC$Y$156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6972792-7346-4B75-A513-30781DC29E79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5274" name="BC$Y$156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AEB1A15-A0E0-4025-A1E6-F994493275B8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5276" name="BC$Y$156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6B545BC-83EF-4E0A-81EA-5373452D5A2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5278" name="BC$Y$156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BFC336F-4FC0-4024-AA51-F876E779CD1C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5280" name="BC$Y$156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A7ADCDD-8241-4835-A51A-7C7E6B76A02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5282" name="BC$Y$156#BR26">
                                      <a:extLst>
                                        <a:ext uri="{FF2B5EF4-FFF2-40B4-BE49-F238E27FC236}">
                                          <a16:creationId xmlns:a16="http://schemas.microsoft.com/office/drawing/2014/main" id="{5DB7A3C9-DAC3-45AD-BCCB-ECD5ED4F4B0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5284" name="BC$Y$156#BR27">
                                    <a:extLst>
                                      <a:ext uri="{FF2B5EF4-FFF2-40B4-BE49-F238E27FC236}">
                                        <a16:creationId xmlns:a16="http://schemas.microsoft.com/office/drawing/2014/main" id="{069AEA09-2527-44EB-8537-7CC62810C59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5286" name="BC$Y$156#BR28">
                                  <a:extLst>
                                    <a:ext uri="{FF2B5EF4-FFF2-40B4-BE49-F238E27FC236}">
                                      <a16:creationId xmlns:a16="http://schemas.microsoft.com/office/drawing/2014/main" id="{88B9987A-EDE2-483C-922B-30260F423DA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5288" name="BC$Y$156#BR29">
                                <a:extLst>
                                  <a:ext uri="{FF2B5EF4-FFF2-40B4-BE49-F238E27FC236}">
                                    <a16:creationId xmlns:a16="http://schemas.microsoft.com/office/drawing/2014/main" id="{3997702D-2538-4FE3-B22F-10B81E2FED6B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5290" name="BC$Y$156#BR30">
                              <a:extLst>
                                <a:ext uri="{FF2B5EF4-FFF2-40B4-BE49-F238E27FC236}">
                                  <a16:creationId xmlns:a16="http://schemas.microsoft.com/office/drawing/2014/main" id="{C67DD947-8263-4686-8164-724BF6754B4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5292" name="BC$Y$156#BR31">
                            <a:extLst>
                              <a:ext uri="{FF2B5EF4-FFF2-40B4-BE49-F238E27FC236}">
                                <a16:creationId xmlns:a16="http://schemas.microsoft.com/office/drawing/2014/main" id="{9E0ADCAD-8CF9-414B-817F-E982E7CE5B9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5294" name="BC$Y$156#BR32">
                          <a:extLst>
                            <a:ext uri="{FF2B5EF4-FFF2-40B4-BE49-F238E27FC236}">
                              <a16:creationId xmlns:a16="http://schemas.microsoft.com/office/drawing/2014/main" id="{F409B701-A71E-4279-A0D4-7B2D460AF46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5296" name="BC$Y$156#BR33">
                        <a:extLst>
                          <a:ext uri="{FF2B5EF4-FFF2-40B4-BE49-F238E27FC236}">
                            <a16:creationId xmlns:a16="http://schemas.microsoft.com/office/drawing/2014/main" id="{429BA334-6D39-4A5C-AA02-9DC66CD888A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5298" name="BC$Y$156#BR34">
                      <a:extLst>
                        <a:ext uri="{FF2B5EF4-FFF2-40B4-BE49-F238E27FC236}">
                          <a16:creationId xmlns:a16="http://schemas.microsoft.com/office/drawing/2014/main" id="{1521702D-0D69-430D-80BE-523314361D76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5300" name="BC$Y$156#BR35">
                    <a:extLst>
                      <a:ext uri="{FF2B5EF4-FFF2-40B4-BE49-F238E27FC236}">
                        <a16:creationId xmlns:a16="http://schemas.microsoft.com/office/drawing/2014/main" id="{D48ACF53-ED66-49B5-B488-9A57F8B7474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5302" name="BC$Y$156#BR36">
                  <a:extLst>
                    <a:ext uri="{FF2B5EF4-FFF2-40B4-BE49-F238E27FC236}">
                      <a16:creationId xmlns:a16="http://schemas.microsoft.com/office/drawing/2014/main" id="{8D49B1AF-F571-4B3E-8294-B873E09D43D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5304" name="BC$Y$156#BR37">
                <a:extLst>
                  <a:ext uri="{FF2B5EF4-FFF2-40B4-BE49-F238E27FC236}">
                    <a16:creationId xmlns:a16="http://schemas.microsoft.com/office/drawing/2014/main" id="{819FDC21-DBAE-48E3-BE6A-CC66FF0EFDE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306" name="BC$Y$156#BR38">
              <a:extLst>
                <a:ext uri="{FF2B5EF4-FFF2-40B4-BE49-F238E27FC236}">
                  <a16:creationId xmlns:a16="http://schemas.microsoft.com/office/drawing/2014/main" id="{7CAAC7C9-3190-4686-A0E1-11E6E71B308A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308" name="BC$Y$156#BR39">
            <a:extLst>
              <a:ext uri="{FF2B5EF4-FFF2-40B4-BE49-F238E27FC236}">
                <a16:creationId xmlns:a16="http://schemas.microsoft.com/office/drawing/2014/main" id="{DD5387E6-564F-4B4E-A1EF-2136B79EE4A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173</xdr:row>
      <xdr:rowOff>9525</xdr:rowOff>
    </xdr:from>
    <xdr:to>
      <xdr:col>13</xdr:col>
      <xdr:colOff>209550</xdr:colOff>
      <xdr:row>175</xdr:row>
      <xdr:rowOff>9525</xdr:rowOff>
    </xdr:to>
    <xdr:grpSp>
      <xdr:nvGrpSpPr>
        <xdr:cNvPr id="6180" name="BC$K$167#GR">
          <a:extLst>
            <a:ext uri="{FF2B5EF4-FFF2-40B4-BE49-F238E27FC236}">
              <a16:creationId xmlns:a16="http://schemas.microsoft.com/office/drawing/2014/main" id="{89DB6693-8F6B-4F55-AA4A-36B16AD9060F}"/>
            </a:ext>
          </a:extLst>
        </xdr:cNvPr>
        <xdr:cNvGrpSpPr/>
      </xdr:nvGrpSpPr>
      <xdr:grpSpPr>
        <a:xfrm>
          <a:off x="2676525" y="32870775"/>
          <a:ext cx="381000" cy="381000"/>
          <a:chOff x="0" y="0"/>
          <a:chExt cx="381000" cy="381000"/>
        </a:xfrm>
      </xdr:grpSpPr>
      <xdr:grpSp>
        <xdr:nvGrpSpPr>
          <xdr:cNvPr id="6178" name="BC$K$167#GR">
            <a:extLst>
              <a:ext uri="{FF2B5EF4-FFF2-40B4-BE49-F238E27FC236}">
                <a16:creationId xmlns:a16="http://schemas.microsoft.com/office/drawing/2014/main" id="{8BFC72F5-5C02-4008-B2F9-745BB331721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176" name="BC$K$167#GR">
              <a:extLst>
                <a:ext uri="{FF2B5EF4-FFF2-40B4-BE49-F238E27FC236}">
                  <a16:creationId xmlns:a16="http://schemas.microsoft.com/office/drawing/2014/main" id="{D0C0F0A0-7B05-4D10-981D-1B29193DB90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174" name="BC$K$167#GR">
                <a:extLst>
                  <a:ext uri="{FF2B5EF4-FFF2-40B4-BE49-F238E27FC236}">
                    <a16:creationId xmlns:a16="http://schemas.microsoft.com/office/drawing/2014/main" id="{FD083285-E496-4B33-A6C3-DB57868A5D5B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172" name="BC$K$167#GR">
                  <a:extLst>
                    <a:ext uri="{FF2B5EF4-FFF2-40B4-BE49-F238E27FC236}">
                      <a16:creationId xmlns:a16="http://schemas.microsoft.com/office/drawing/2014/main" id="{FB4ED529-C777-4A84-9724-645EFF7ECFB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170" name="BC$K$167#GR">
                    <a:extLst>
                      <a:ext uri="{FF2B5EF4-FFF2-40B4-BE49-F238E27FC236}">
                        <a16:creationId xmlns:a16="http://schemas.microsoft.com/office/drawing/2014/main" id="{57CAEF0E-FAF2-4C20-BCF7-EE66926F943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168" name="BC$K$167#GR">
                      <a:extLst>
                        <a:ext uri="{FF2B5EF4-FFF2-40B4-BE49-F238E27FC236}">
                          <a16:creationId xmlns:a16="http://schemas.microsoft.com/office/drawing/2014/main" id="{C11E1697-7C7B-4C0C-978D-94E5FE75360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166" name="BC$K$167#GR">
                        <a:extLst>
                          <a:ext uri="{FF2B5EF4-FFF2-40B4-BE49-F238E27FC236}">
                            <a16:creationId xmlns:a16="http://schemas.microsoft.com/office/drawing/2014/main" id="{89C306D6-9FA0-478C-BDA3-87CE4E70D251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164" name="BC$K$167#GR">
                          <a:extLst>
                            <a:ext uri="{FF2B5EF4-FFF2-40B4-BE49-F238E27FC236}">
                              <a16:creationId xmlns:a16="http://schemas.microsoft.com/office/drawing/2014/main" id="{C582892A-0332-4598-BE29-44EEB5C6561F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162" name="BC$K$167#GR">
                            <a:extLst>
                              <a:ext uri="{FF2B5EF4-FFF2-40B4-BE49-F238E27FC236}">
                                <a16:creationId xmlns:a16="http://schemas.microsoft.com/office/drawing/2014/main" id="{EFDA87BA-7985-43F5-9EC3-C5A890432A86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160" name="BC$K$167#GR">
                              <a:extLst>
                                <a:ext uri="{FF2B5EF4-FFF2-40B4-BE49-F238E27FC236}">
                                  <a16:creationId xmlns:a16="http://schemas.microsoft.com/office/drawing/2014/main" id="{E1A6BDBA-F52A-46C7-96CE-85418B1D0D93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158" name="BC$K$167#GR">
                                <a:extLst>
                                  <a:ext uri="{FF2B5EF4-FFF2-40B4-BE49-F238E27FC236}">
                                    <a16:creationId xmlns:a16="http://schemas.microsoft.com/office/drawing/2014/main" id="{06B680D6-9C7F-44D6-B1ED-426C58F97982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156" name="BC$K$167#GR">
                                  <a:extLst>
                                    <a:ext uri="{FF2B5EF4-FFF2-40B4-BE49-F238E27FC236}">
                                      <a16:creationId xmlns:a16="http://schemas.microsoft.com/office/drawing/2014/main" id="{DA8BDCB9-5DB0-4C1C-9896-4AFB92DFB3E9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154" name="BC$K$167#GR">
                                    <a:extLst>
                                      <a:ext uri="{FF2B5EF4-FFF2-40B4-BE49-F238E27FC236}">
                                        <a16:creationId xmlns:a16="http://schemas.microsoft.com/office/drawing/2014/main" id="{E085CD71-B572-4A07-8F33-5B5A55728B8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152" name="BC$K$167#GR">
                                      <a:extLst>
                                        <a:ext uri="{FF2B5EF4-FFF2-40B4-BE49-F238E27FC236}">
                                          <a16:creationId xmlns:a16="http://schemas.microsoft.com/office/drawing/2014/main" id="{7C989B10-5278-4DFA-A7F1-22F8381C83AB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150" name="BC$K$16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B359991-0296-4A57-807A-4F12FC4ECEE3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148" name="BC$K$16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5855F0E-0EA6-459C-9490-5920A1D72B7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146" name="BC$K$16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3A25230-480B-4DFD-93B5-27DB8B8C91B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144" name="BC$K$16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9CF4E57-1E61-4983-90B6-89FF992A119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142" name="BC$K$16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1F1832C-AD56-4468-A2ED-451DFE1D007B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140" name="BC$K$16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85D81E5-37DD-4F24-AB5B-41962EE8AEE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138" name="BC$K$16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B6BEE69-688D-4402-ADEF-7E5BD9AA2CE7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136" name="BC$K$16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92681A5-CB87-4070-9016-C894A13E3CE2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134" name="BC$K$16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A0ADB00-19C1-4C78-85BA-9AB28827AB99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132" name="BC$K$16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7B78D3F-7DE8-4400-9D89-E7113B5E9A3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130" name="BC$K$16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8C4F02C-09EE-431A-9321-98C308A8F65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128" name="BC$K$16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1AB81CA-3DAA-4655-BCDE-B33794A515A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126" name="BC$K$16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064536E-8316-4E4D-96FA-42C727AF017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124" name="BC$K$16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3C3D598-93A1-4416-8FD8-8A066AFBBD7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122" name="BC$K$16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B662FC2-8C2A-43EF-B44F-81A7BA80762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120" name="BC$K$16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4CB8C91-77D8-4466-A8F7-2C600963A32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118" name="BC$K$16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583B588-7B9B-42D2-B07A-866D8B37F92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116" name="BC$K$16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3BD682D-6706-4AB9-B941-26627A91035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114" name="BC$K$16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89063F3-3DB0-4AD4-8312-ADFB69E5952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112" name="BC$K$16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2899358-52AB-4CDA-B405-DF3C351A4B4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110" name="BC$K$16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7ACDEC5-607E-4F3F-81FB-D84C24F6187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108" name="BC$K$16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3AF8775-EF24-4BAA-9673-6E28F46E85F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106" name="BC$K$167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395E0F0-DD2D-4A3A-B8C3-4DFCB939262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104" name="BC$K$167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2DE46BB-49C4-4C8F-BEEE-C54B562475A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102" name="BC$K$167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3025D71-5E82-42F3-B339-098F49CFEBAC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103" name="BC$K$167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8A68AF28-963D-46C3-BA28-DF6480D2E0D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105" name="BC$K$167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C5513615-AC1E-4034-8FC5-91A0D21F2FA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107" name="BC$K$167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03B8A9D-57FB-4EF1-9EDC-2927FE6FC24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109" name="BC$K$167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BCCF171-52B2-445E-8494-DFEA8A4929A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111" name="BC$K$167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EE81F53-3239-4D82-896A-B6F2C5839DC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113" name="BC$K$167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4565A5C-3AA6-4912-AAF0-2ABBD99FB7B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115" name="BC$K$167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5F96D2D-E6E3-4D3B-A78F-FF384CE3403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117" name="BC$K$167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24704E8-5FD8-452C-8997-D6AB2F8B5EF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119" name="BC$K$167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F86864A-9458-450D-8D5A-E8FB5229BE4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121" name="BC$K$167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304D219-818B-48EB-B4C9-3DA1D5563DA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123" name="BC$K$167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0CFDB2E-78E9-423C-970D-B379AC3767B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125" name="BC$K$167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DE895A3-8052-480B-BFE7-E32CAA71BF2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127" name="BC$K$167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F6F08A8-0520-48FD-A34A-7777B6EE799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129" name="BC$K$167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1B6E090-61B5-4305-B48E-266A1D7F69F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131" name="BC$K$167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758502A-2FBA-4533-8FDA-B7B52B233A8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133" name="BC$K$167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55309C2-2503-42A7-91F6-9B70196DCF4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135" name="BC$K$167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CC85A65-5696-4382-8A0F-AAEF8812E9A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137" name="BC$K$167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BEBAB4D-7EBF-41AE-B118-2A49C8A18DC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139" name="BC$K$167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3A2E286-266C-4446-846E-5792950D15C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141" name="BC$K$167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731634E-31F2-4989-87EA-0AD8CAF21B1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143" name="BC$K$167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D91644F-C86E-47D5-A0F9-FCAC5DACC08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145" name="BC$K$167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4D514A5-AA5F-4B04-8226-C3DB1666F809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147" name="BC$K$167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64CFD7A-052E-4B67-8FD9-90344FF13CC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149" name="BC$K$167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F0447D1-CF43-4540-84CD-61693AEEBDEF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151" name="BC$K$167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5AFCA3D-D05A-47AF-A120-CBE28DDDDDEB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153" name="BC$K$167#BR26">
                                      <a:extLst>
                                        <a:ext uri="{FF2B5EF4-FFF2-40B4-BE49-F238E27FC236}">
                                          <a16:creationId xmlns:a16="http://schemas.microsoft.com/office/drawing/2014/main" id="{AB48C247-A620-4FA5-A741-18F53F7F0D1A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155" name="BC$K$167#BR27">
                                    <a:extLst>
                                      <a:ext uri="{FF2B5EF4-FFF2-40B4-BE49-F238E27FC236}">
                                        <a16:creationId xmlns:a16="http://schemas.microsoft.com/office/drawing/2014/main" id="{D0BD67B3-2AB3-4029-BA0E-F79065D8354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157" name="BC$K$167#BR28">
                                  <a:extLst>
                                    <a:ext uri="{FF2B5EF4-FFF2-40B4-BE49-F238E27FC236}">
                                      <a16:creationId xmlns:a16="http://schemas.microsoft.com/office/drawing/2014/main" id="{8E9787A1-4857-4180-ABEA-3E90A28DA019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159" name="BC$K$167#BR29">
                                <a:extLst>
                                  <a:ext uri="{FF2B5EF4-FFF2-40B4-BE49-F238E27FC236}">
                                    <a16:creationId xmlns:a16="http://schemas.microsoft.com/office/drawing/2014/main" id="{D2BDD444-D51B-439B-A2A4-E80B179D4392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161" name="BC$K$167#BR30">
                              <a:extLst>
                                <a:ext uri="{FF2B5EF4-FFF2-40B4-BE49-F238E27FC236}">
                                  <a16:creationId xmlns:a16="http://schemas.microsoft.com/office/drawing/2014/main" id="{D9F59A45-731D-4B97-9D95-9C4E97E72A4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163" name="BC$K$167#BR31">
                            <a:extLst>
                              <a:ext uri="{FF2B5EF4-FFF2-40B4-BE49-F238E27FC236}">
                                <a16:creationId xmlns:a16="http://schemas.microsoft.com/office/drawing/2014/main" id="{0A2204AF-1575-4F18-BFF7-D3C53C9EB8DB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165" name="BC$K$167#BR32">
                          <a:extLst>
                            <a:ext uri="{FF2B5EF4-FFF2-40B4-BE49-F238E27FC236}">
                              <a16:creationId xmlns:a16="http://schemas.microsoft.com/office/drawing/2014/main" id="{8AF2435B-077D-4B0B-A317-5AB8E85B88B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167" name="BC$K$167#BR33">
                        <a:extLst>
                          <a:ext uri="{FF2B5EF4-FFF2-40B4-BE49-F238E27FC236}">
                            <a16:creationId xmlns:a16="http://schemas.microsoft.com/office/drawing/2014/main" id="{A7D49738-F1DE-49F3-9F6A-F3CA8BBC34F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169" name="BC$K$167#BR34">
                      <a:extLst>
                        <a:ext uri="{FF2B5EF4-FFF2-40B4-BE49-F238E27FC236}">
                          <a16:creationId xmlns:a16="http://schemas.microsoft.com/office/drawing/2014/main" id="{2F3CA55C-F10D-467A-A019-E9A43552C71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171" name="BC$K$167#BR35">
                    <a:extLst>
                      <a:ext uri="{FF2B5EF4-FFF2-40B4-BE49-F238E27FC236}">
                        <a16:creationId xmlns:a16="http://schemas.microsoft.com/office/drawing/2014/main" id="{270E4561-6063-462D-85D2-C6D6B39D8551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173" name="BC$K$167#BR36">
                  <a:extLst>
                    <a:ext uri="{FF2B5EF4-FFF2-40B4-BE49-F238E27FC236}">
                      <a16:creationId xmlns:a16="http://schemas.microsoft.com/office/drawing/2014/main" id="{F69A06CE-3B8E-45E3-9F2D-7A03B2E564A9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175" name="BC$K$167#BR37">
                <a:extLst>
                  <a:ext uri="{FF2B5EF4-FFF2-40B4-BE49-F238E27FC236}">
                    <a16:creationId xmlns:a16="http://schemas.microsoft.com/office/drawing/2014/main" id="{6557E706-EEB9-49B6-A1CF-256F0CD43DB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177" name="BC$K$167#BR38">
              <a:extLst>
                <a:ext uri="{FF2B5EF4-FFF2-40B4-BE49-F238E27FC236}">
                  <a16:creationId xmlns:a16="http://schemas.microsoft.com/office/drawing/2014/main" id="{5B7E26FC-47D9-414E-BEBF-6EC44390C3E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179" name="BC$K$167#BR39">
            <a:extLst>
              <a:ext uri="{FF2B5EF4-FFF2-40B4-BE49-F238E27FC236}">
                <a16:creationId xmlns:a16="http://schemas.microsoft.com/office/drawing/2014/main" id="{B0E6091D-BC64-45F3-A3DE-8BEF4C56EA27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173</xdr:row>
      <xdr:rowOff>19050</xdr:rowOff>
    </xdr:from>
    <xdr:to>
      <xdr:col>27</xdr:col>
      <xdr:colOff>209550</xdr:colOff>
      <xdr:row>175</xdr:row>
      <xdr:rowOff>19050</xdr:rowOff>
    </xdr:to>
    <xdr:grpSp>
      <xdr:nvGrpSpPr>
        <xdr:cNvPr id="6259" name="BC$Y$167#GR">
          <a:extLst>
            <a:ext uri="{FF2B5EF4-FFF2-40B4-BE49-F238E27FC236}">
              <a16:creationId xmlns:a16="http://schemas.microsoft.com/office/drawing/2014/main" id="{DB5088B1-CA50-4F5A-AF5F-2362E4028FA1}"/>
            </a:ext>
          </a:extLst>
        </xdr:cNvPr>
        <xdr:cNvGrpSpPr/>
      </xdr:nvGrpSpPr>
      <xdr:grpSpPr>
        <a:xfrm>
          <a:off x="5791200" y="32880300"/>
          <a:ext cx="381000" cy="381000"/>
          <a:chOff x="0" y="0"/>
          <a:chExt cx="381000" cy="381000"/>
        </a:xfrm>
      </xdr:grpSpPr>
      <xdr:grpSp>
        <xdr:nvGrpSpPr>
          <xdr:cNvPr id="6257" name="BC$Y$167#GR">
            <a:extLst>
              <a:ext uri="{FF2B5EF4-FFF2-40B4-BE49-F238E27FC236}">
                <a16:creationId xmlns:a16="http://schemas.microsoft.com/office/drawing/2014/main" id="{3108BC57-67BB-4ABE-9BA3-44ABE00141E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255" name="BC$Y$167#GR">
              <a:extLst>
                <a:ext uri="{FF2B5EF4-FFF2-40B4-BE49-F238E27FC236}">
                  <a16:creationId xmlns:a16="http://schemas.microsoft.com/office/drawing/2014/main" id="{A3FA6E95-7615-4A56-823B-38D608F276B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253" name="BC$Y$167#GR">
                <a:extLst>
                  <a:ext uri="{FF2B5EF4-FFF2-40B4-BE49-F238E27FC236}">
                    <a16:creationId xmlns:a16="http://schemas.microsoft.com/office/drawing/2014/main" id="{8ECF5934-A884-4EA7-8AB0-C1FF17096EDA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251" name="BC$Y$167#GR">
                  <a:extLst>
                    <a:ext uri="{FF2B5EF4-FFF2-40B4-BE49-F238E27FC236}">
                      <a16:creationId xmlns:a16="http://schemas.microsoft.com/office/drawing/2014/main" id="{7140F11D-9008-417E-AAB1-F1D26F0052F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249" name="BC$Y$167#GR">
                    <a:extLst>
                      <a:ext uri="{FF2B5EF4-FFF2-40B4-BE49-F238E27FC236}">
                        <a16:creationId xmlns:a16="http://schemas.microsoft.com/office/drawing/2014/main" id="{326B4F44-12DD-4190-8E5B-3F0C65DF26F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247" name="BC$Y$167#GR">
                      <a:extLst>
                        <a:ext uri="{FF2B5EF4-FFF2-40B4-BE49-F238E27FC236}">
                          <a16:creationId xmlns:a16="http://schemas.microsoft.com/office/drawing/2014/main" id="{F27CE214-F2D4-46D4-8CEE-FC5B8459239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245" name="BC$Y$167#GR">
                        <a:extLst>
                          <a:ext uri="{FF2B5EF4-FFF2-40B4-BE49-F238E27FC236}">
                            <a16:creationId xmlns:a16="http://schemas.microsoft.com/office/drawing/2014/main" id="{0498E778-5BD4-473E-B3D0-DB06965C1ED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243" name="BC$Y$167#GR">
                          <a:extLst>
                            <a:ext uri="{FF2B5EF4-FFF2-40B4-BE49-F238E27FC236}">
                              <a16:creationId xmlns:a16="http://schemas.microsoft.com/office/drawing/2014/main" id="{8930B1BA-6876-437E-8FEE-305D47D8350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241" name="BC$Y$167#GR">
                            <a:extLst>
                              <a:ext uri="{FF2B5EF4-FFF2-40B4-BE49-F238E27FC236}">
                                <a16:creationId xmlns:a16="http://schemas.microsoft.com/office/drawing/2014/main" id="{F260E158-4927-41D4-9897-070660D89AF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239" name="BC$Y$167#GR">
                              <a:extLst>
                                <a:ext uri="{FF2B5EF4-FFF2-40B4-BE49-F238E27FC236}">
                                  <a16:creationId xmlns:a16="http://schemas.microsoft.com/office/drawing/2014/main" id="{FF3C7B0C-0721-4712-8281-BE9CE7CF559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237" name="BC$Y$167#GR">
                                <a:extLst>
                                  <a:ext uri="{FF2B5EF4-FFF2-40B4-BE49-F238E27FC236}">
                                    <a16:creationId xmlns:a16="http://schemas.microsoft.com/office/drawing/2014/main" id="{4754DB52-75C5-492C-833B-9590E9970DF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235" name="BC$Y$167#GR">
                                  <a:extLst>
                                    <a:ext uri="{FF2B5EF4-FFF2-40B4-BE49-F238E27FC236}">
                                      <a16:creationId xmlns:a16="http://schemas.microsoft.com/office/drawing/2014/main" id="{C72CAA9E-736F-4B29-9B30-70018FCAE832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233" name="BC$Y$167#GR">
                                    <a:extLst>
                                      <a:ext uri="{FF2B5EF4-FFF2-40B4-BE49-F238E27FC236}">
                                        <a16:creationId xmlns:a16="http://schemas.microsoft.com/office/drawing/2014/main" id="{46787F29-D315-417E-8D5B-7097920216B9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231" name="BC$Y$167#GR">
                                      <a:extLst>
                                        <a:ext uri="{FF2B5EF4-FFF2-40B4-BE49-F238E27FC236}">
                                          <a16:creationId xmlns:a16="http://schemas.microsoft.com/office/drawing/2014/main" id="{51848E2A-839D-4CA8-BEEE-C36622D37F64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229" name="BC$Y$16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0155931-2B75-47A6-99C0-D5997287F81E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227" name="BC$Y$16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D7151F8-2C65-428B-A25C-D6E6FBB448E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225" name="BC$Y$16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BCD1565-D80E-49AB-976C-76C115E3992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223" name="BC$Y$16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025CA9E-0509-40F4-832D-4F054FC6543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221" name="BC$Y$16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7C5A95D-8F49-4743-BEBE-C26C4DF9AE5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219" name="BC$Y$16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4C5646B-840C-4A51-A7D0-3333BA50A424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217" name="BC$Y$16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272E01D-715A-42D9-9E2A-DA399EBB6341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215" name="BC$Y$16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7E218B7-1AC5-44ED-9C4F-871816620B6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213" name="BC$Y$16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F08B69D-CB0A-4417-8BC1-A03E0F0FFA2D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211" name="BC$Y$16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ABDF6E6-1501-4D35-9494-501FD1336B0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209" name="BC$Y$16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58AEF2C-2275-4575-BE49-FADC936170B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207" name="BC$Y$16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4EF8173-0CD1-4D2F-BA5C-3672FB4F1E2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205" name="BC$Y$16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863B71A-F2D3-4B84-A7F5-3132BDCCC2F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203" name="BC$Y$16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84BF3B7-439D-46BB-941B-B4022684E24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201" name="BC$Y$16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779A77D-A350-4D34-84C5-DB6E60181B7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199" name="BC$Y$16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EE0187B-F5DD-49A3-B127-61BE4550A33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197" name="BC$Y$16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5915740-CB5F-42C5-AC6A-4DB82FAE1E7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195" name="BC$Y$16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6B276D2-C44D-4ABB-A835-AB3E6EE470F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193" name="BC$Y$16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F00A7B0-DC82-4D5F-AFA4-51B8112845F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191" name="BC$Y$16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994E656-E2B0-4B44-8F29-827B375C4F8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189" name="BC$Y$16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4DB17AF-6FA6-4E3E-B057-C43CEEBDBC3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187" name="BC$Y$16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DBF55C2-5731-4B1C-B616-2763260D3D4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185" name="BC$Y$167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925EAD5-7744-43D7-874C-F5EE9875B1F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183" name="BC$Y$167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BCCFD9B-2B80-4F6A-991A-04527C6FA694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181" name="BC$Y$167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A4C35CE3-8922-439C-A6CB-19E2574649F6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182" name="BC$Y$167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6FCDFD0-9FBF-4768-9C60-2D5598CC656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184" name="BC$Y$167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C34DB8A-E040-4F0B-AD6F-13C1BCF27C9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186" name="BC$Y$167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465CB14-C317-45D4-A742-8D379F6FEB5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188" name="BC$Y$167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891AB8D-3201-4B10-B86B-D53B5B9DEEB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190" name="BC$Y$167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7472AF0-6674-4F03-9AC7-568FAD91511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192" name="BC$Y$167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71C0435-EAD7-4D07-A585-DE11836540E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194" name="BC$Y$167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4EAF76F-9105-4EAF-94F2-CB8A110A5D3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196" name="BC$Y$167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B95D0E3-FFA3-4495-BFDA-06305E6E0E2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198" name="BC$Y$167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3ED9B53-59C5-4AF6-9DC4-0EB84F8B1E9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200" name="BC$Y$167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3DC24CA-81DF-41B1-A26C-B9468CCAB27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202" name="BC$Y$167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AFA6C56-DDE1-4256-A3A1-CD28F0B03D7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204" name="BC$Y$167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A95C2A0-9CB3-4137-A604-7ED66CA0815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206" name="BC$Y$167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AA881F2-9C69-4F10-84FA-B189A03806F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208" name="BC$Y$167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547D631-F579-4CEC-84EE-E9513D17D45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210" name="BC$Y$167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4FEFFE2-5B44-4AB1-9ADA-F9E966199C3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212" name="BC$Y$167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6497766-1C93-4F5B-A70E-51D8C7644F6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214" name="BC$Y$167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2A8559F-E0DA-4FD6-BDCA-9DD2B379E7D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216" name="BC$Y$167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6CBEFDD-4365-44FA-A3DA-ECFED925E13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218" name="BC$Y$167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20A2DD2-223A-4F2F-9EA6-428BBC76052C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220" name="BC$Y$167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DED3F61-4B14-4B85-AA39-365DF281B2E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222" name="BC$Y$167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6026F75-9434-4734-BC28-871FE67D1C23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224" name="BC$Y$167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64700A8-AB85-4796-A16D-7A3EF2B000CC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226" name="BC$Y$167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E198D09-7050-4D09-A227-691B010A4A65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228" name="BC$Y$167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3A03AAC-01B5-4255-BBAE-8CA1C10C91E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230" name="BC$Y$167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162ABD7-25AB-4242-8C75-0617299A59F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232" name="BC$Y$167#BR26">
                                      <a:extLst>
                                        <a:ext uri="{FF2B5EF4-FFF2-40B4-BE49-F238E27FC236}">
                                          <a16:creationId xmlns:a16="http://schemas.microsoft.com/office/drawing/2014/main" id="{E07B927F-2379-4302-B8A5-B97936DB9F44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234" name="BC$Y$167#BR27">
                                    <a:extLst>
                                      <a:ext uri="{FF2B5EF4-FFF2-40B4-BE49-F238E27FC236}">
                                        <a16:creationId xmlns:a16="http://schemas.microsoft.com/office/drawing/2014/main" id="{366AEB48-EC60-4B13-8D93-1A3EC1876A7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236" name="BC$Y$167#BR28">
                                  <a:extLst>
                                    <a:ext uri="{FF2B5EF4-FFF2-40B4-BE49-F238E27FC236}">
                                      <a16:creationId xmlns:a16="http://schemas.microsoft.com/office/drawing/2014/main" id="{BF2BC0C1-C74A-4BA8-99A0-879B0E669BF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238" name="BC$Y$167#BR29">
                                <a:extLst>
                                  <a:ext uri="{FF2B5EF4-FFF2-40B4-BE49-F238E27FC236}">
                                    <a16:creationId xmlns:a16="http://schemas.microsoft.com/office/drawing/2014/main" id="{3A012563-F965-4C70-AB3F-3E0BAD87BE3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240" name="BC$Y$167#BR30">
                              <a:extLst>
                                <a:ext uri="{FF2B5EF4-FFF2-40B4-BE49-F238E27FC236}">
                                  <a16:creationId xmlns:a16="http://schemas.microsoft.com/office/drawing/2014/main" id="{228B3FAC-57CF-4738-9CAC-9C0AD125061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242" name="BC$Y$167#BR31">
                            <a:extLst>
                              <a:ext uri="{FF2B5EF4-FFF2-40B4-BE49-F238E27FC236}">
                                <a16:creationId xmlns:a16="http://schemas.microsoft.com/office/drawing/2014/main" id="{22B247D1-DBE3-4418-9FB4-AE66A2B0819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244" name="BC$Y$167#BR32">
                          <a:extLst>
                            <a:ext uri="{FF2B5EF4-FFF2-40B4-BE49-F238E27FC236}">
                              <a16:creationId xmlns:a16="http://schemas.microsoft.com/office/drawing/2014/main" id="{92EF5868-8C12-4395-87A6-6BFACCB479A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246" name="BC$Y$167#BR33">
                        <a:extLst>
                          <a:ext uri="{FF2B5EF4-FFF2-40B4-BE49-F238E27FC236}">
                            <a16:creationId xmlns:a16="http://schemas.microsoft.com/office/drawing/2014/main" id="{B7ACAF47-BA11-4D4F-8976-9E9A4CFF595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248" name="BC$Y$167#BR34">
                      <a:extLst>
                        <a:ext uri="{FF2B5EF4-FFF2-40B4-BE49-F238E27FC236}">
                          <a16:creationId xmlns:a16="http://schemas.microsoft.com/office/drawing/2014/main" id="{22548A7E-0FBE-45CF-A340-3AA3A66B8BC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250" name="BC$Y$167#BR35">
                    <a:extLst>
                      <a:ext uri="{FF2B5EF4-FFF2-40B4-BE49-F238E27FC236}">
                        <a16:creationId xmlns:a16="http://schemas.microsoft.com/office/drawing/2014/main" id="{65912C57-7922-4E1F-A754-DF63DA972E37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252" name="BC$Y$167#BR36">
                  <a:extLst>
                    <a:ext uri="{FF2B5EF4-FFF2-40B4-BE49-F238E27FC236}">
                      <a16:creationId xmlns:a16="http://schemas.microsoft.com/office/drawing/2014/main" id="{07A2B891-40B7-4E16-B2D3-49B6D219F9C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254" name="BC$Y$167#BR37">
                <a:extLst>
                  <a:ext uri="{FF2B5EF4-FFF2-40B4-BE49-F238E27FC236}">
                    <a16:creationId xmlns:a16="http://schemas.microsoft.com/office/drawing/2014/main" id="{B04D10F3-8C3D-454B-9382-319D0B30F93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256" name="BC$Y$167#BR38">
              <a:extLst>
                <a:ext uri="{FF2B5EF4-FFF2-40B4-BE49-F238E27FC236}">
                  <a16:creationId xmlns:a16="http://schemas.microsoft.com/office/drawing/2014/main" id="{6141E329-31E3-42B5-8229-1E963334060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258" name="BC$Y$167#BR39">
            <a:extLst>
              <a:ext uri="{FF2B5EF4-FFF2-40B4-BE49-F238E27FC236}">
                <a16:creationId xmlns:a16="http://schemas.microsoft.com/office/drawing/2014/main" id="{BD3EF119-D06B-464E-A9A1-0785EA6ED36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184</xdr:row>
      <xdr:rowOff>0</xdr:rowOff>
    </xdr:from>
    <xdr:to>
      <xdr:col>27</xdr:col>
      <xdr:colOff>200025</xdr:colOff>
      <xdr:row>186</xdr:row>
      <xdr:rowOff>0</xdr:rowOff>
    </xdr:to>
    <xdr:grpSp>
      <xdr:nvGrpSpPr>
        <xdr:cNvPr id="6338" name="BC$Y$178#GR">
          <a:extLst>
            <a:ext uri="{FF2B5EF4-FFF2-40B4-BE49-F238E27FC236}">
              <a16:creationId xmlns:a16="http://schemas.microsoft.com/office/drawing/2014/main" id="{E0F4BF98-1ABE-4FFE-B81B-D543827D199D}"/>
            </a:ext>
          </a:extLst>
        </xdr:cNvPr>
        <xdr:cNvGrpSpPr/>
      </xdr:nvGrpSpPr>
      <xdr:grpSpPr>
        <a:xfrm>
          <a:off x="5781675" y="34956750"/>
          <a:ext cx="381000" cy="381000"/>
          <a:chOff x="0" y="0"/>
          <a:chExt cx="381000" cy="381000"/>
        </a:xfrm>
      </xdr:grpSpPr>
      <xdr:grpSp>
        <xdr:nvGrpSpPr>
          <xdr:cNvPr id="6336" name="BC$Y$178#GR">
            <a:extLst>
              <a:ext uri="{FF2B5EF4-FFF2-40B4-BE49-F238E27FC236}">
                <a16:creationId xmlns:a16="http://schemas.microsoft.com/office/drawing/2014/main" id="{7F92976A-317B-47F1-AE89-E93D714F70BA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334" name="BC$Y$178#GR">
              <a:extLst>
                <a:ext uri="{FF2B5EF4-FFF2-40B4-BE49-F238E27FC236}">
                  <a16:creationId xmlns:a16="http://schemas.microsoft.com/office/drawing/2014/main" id="{BDC8AB4F-DC83-4973-A160-6B6E50BEFE00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332" name="BC$Y$178#GR">
                <a:extLst>
                  <a:ext uri="{FF2B5EF4-FFF2-40B4-BE49-F238E27FC236}">
                    <a16:creationId xmlns:a16="http://schemas.microsoft.com/office/drawing/2014/main" id="{902A3510-725A-4704-969A-34B6899336A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330" name="BC$Y$178#GR">
                  <a:extLst>
                    <a:ext uri="{FF2B5EF4-FFF2-40B4-BE49-F238E27FC236}">
                      <a16:creationId xmlns:a16="http://schemas.microsoft.com/office/drawing/2014/main" id="{50D30D30-3FD6-4F0B-BB7F-DA4A990A2C83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328" name="BC$Y$178#GR">
                    <a:extLst>
                      <a:ext uri="{FF2B5EF4-FFF2-40B4-BE49-F238E27FC236}">
                        <a16:creationId xmlns:a16="http://schemas.microsoft.com/office/drawing/2014/main" id="{B2215720-E234-42BA-B738-ABA8EE2A4E57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326" name="BC$Y$178#GR">
                      <a:extLst>
                        <a:ext uri="{FF2B5EF4-FFF2-40B4-BE49-F238E27FC236}">
                          <a16:creationId xmlns:a16="http://schemas.microsoft.com/office/drawing/2014/main" id="{457AB59D-DCFB-48BA-AC75-520C6B29B516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324" name="BC$Y$178#GR">
                        <a:extLst>
                          <a:ext uri="{FF2B5EF4-FFF2-40B4-BE49-F238E27FC236}">
                            <a16:creationId xmlns:a16="http://schemas.microsoft.com/office/drawing/2014/main" id="{20B5B939-16AB-4C9B-9A1A-202BD1D6B3D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322" name="BC$Y$178#GR">
                          <a:extLst>
                            <a:ext uri="{FF2B5EF4-FFF2-40B4-BE49-F238E27FC236}">
                              <a16:creationId xmlns:a16="http://schemas.microsoft.com/office/drawing/2014/main" id="{D4600D3B-221E-4BFD-85C5-7D20F328F731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320" name="BC$Y$178#GR">
                            <a:extLst>
                              <a:ext uri="{FF2B5EF4-FFF2-40B4-BE49-F238E27FC236}">
                                <a16:creationId xmlns:a16="http://schemas.microsoft.com/office/drawing/2014/main" id="{12FA5984-EC61-44F4-9C00-9387DE60F483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318" name="BC$Y$178#GR">
                              <a:extLst>
                                <a:ext uri="{FF2B5EF4-FFF2-40B4-BE49-F238E27FC236}">
                                  <a16:creationId xmlns:a16="http://schemas.microsoft.com/office/drawing/2014/main" id="{8FC59D88-2963-4D5B-A0AA-F87D6D546AC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316" name="BC$Y$178#GR">
                                <a:extLst>
                                  <a:ext uri="{FF2B5EF4-FFF2-40B4-BE49-F238E27FC236}">
                                    <a16:creationId xmlns:a16="http://schemas.microsoft.com/office/drawing/2014/main" id="{E0962195-3DB3-427F-B106-500A10E368B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314" name="BC$Y$178#GR">
                                  <a:extLst>
                                    <a:ext uri="{FF2B5EF4-FFF2-40B4-BE49-F238E27FC236}">
                                      <a16:creationId xmlns:a16="http://schemas.microsoft.com/office/drawing/2014/main" id="{F2D8EAEE-5675-4E3C-83DA-94CA3AF0817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312" name="BC$Y$178#GR">
                                    <a:extLst>
                                      <a:ext uri="{FF2B5EF4-FFF2-40B4-BE49-F238E27FC236}">
                                        <a16:creationId xmlns:a16="http://schemas.microsoft.com/office/drawing/2014/main" id="{B5E69108-33E5-46AA-9826-3BC17105CFDB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310" name="BC$Y$178#GR">
                                      <a:extLst>
                                        <a:ext uri="{FF2B5EF4-FFF2-40B4-BE49-F238E27FC236}">
                                          <a16:creationId xmlns:a16="http://schemas.microsoft.com/office/drawing/2014/main" id="{92DD1E08-245A-4907-80AB-25AB33A3BEA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308" name="BC$Y$17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2316319-E5EB-4958-9B0C-41A49F1A26B3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306" name="BC$Y$17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7CF541B-41CD-4A87-AFF5-71C5E1ECE7BD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304" name="BC$Y$17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CC3BBA0-68B0-4F9E-A95A-C1F98475A4AB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302" name="BC$Y$17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A3388B5-A98E-43BF-8311-F69E0A99B58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300" name="BC$Y$17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B5EF038-3D42-41F7-92F1-613243C4699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298" name="BC$Y$17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5747F0A-5741-4E26-8C45-78570BCA4D2D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296" name="BC$Y$17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944E131-A631-42BF-9258-4101F99C23EE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294" name="BC$Y$17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DBC5446-765E-4947-A116-D2DB3A240EB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292" name="BC$Y$17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A9D7078-8F7B-4AD7-A6D1-FCD28057B2D8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290" name="BC$Y$17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B8BDF1A-8D71-4E81-9734-AFFFDD0854B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288" name="BC$Y$17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CAE83F8-2360-426C-94D1-9C7A76D487A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286" name="BC$Y$17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584195E-FF00-4582-ABF3-77E750EE3FF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284" name="BC$Y$17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CE8B688-DDDE-4ED7-94B9-55AB301C242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282" name="BC$Y$17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7CA7369-8C14-44F2-801C-63BADA97D57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280" name="BC$Y$17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8C621AD-1D1F-4B27-8C1D-5A9846FD0F9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278" name="BC$Y$17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529AF38-3FEC-487A-92BF-A5A99FCDAE0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276" name="BC$Y$17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DC34571-D4C5-4335-AE9E-CBFB86BCB82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274" name="BC$Y$17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993758A-DC74-4DF4-BA92-455485C403F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272" name="BC$Y$17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C5D7D05-AB02-4D33-967A-8C5F803CE24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270" name="BC$Y$17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B1BEA2E-7DE2-4B36-A418-8B9BC1345FE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268" name="BC$Y$17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90A7C0A-9C6A-4437-A250-6D8E4DBF740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266" name="BC$Y$17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82CAA68-8519-4F4C-A636-4D36A6BC2E73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264" name="BC$Y$178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EA75224-0200-4705-8054-3BD1EA66B5F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262" name="BC$Y$178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BA2C855-E37A-4C1C-9715-5DC03A32737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260" name="BC$Y$178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F67211FE-19FA-4B95-9875-6230D755FD7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261" name="BC$Y$178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100AE75-7553-4695-8FBA-E9622068E069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263" name="BC$Y$178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B64594B-3BFB-4ED2-8B9F-A9D481A1C38A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265" name="BC$Y$178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43EABE6-80CD-48CD-8EE2-30A8A00DC07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267" name="BC$Y$178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7FEE4C9-3496-4649-AA44-BE1FB88F140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269" name="BC$Y$178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51B9BD4-4FE9-4D30-8E1D-FEA942CFC6E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271" name="BC$Y$178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D4FE540-FFEF-4CC4-81AD-6CFB65EB8F6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273" name="BC$Y$178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803B3BE-51CE-4440-9252-73EDFED82BC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275" name="BC$Y$178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53E510F-FED1-4151-A48B-BB9124BD111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277" name="BC$Y$178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FCE494F-44CA-4DA3-96EB-A72CCABBE47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279" name="BC$Y$178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DBD1357-C743-4BB1-8802-4F4B1500215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281" name="BC$Y$178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7AAA18F-59E1-432F-865C-994E2C35DD8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283" name="BC$Y$178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A9C3D69-3ED3-4EA6-BD95-6C9E64B61EE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285" name="BC$Y$178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71BFA4D4-7CC1-4E6F-AAA0-D962A2BBDE0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287" name="BC$Y$178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30AE702-C901-441E-8795-55CB81BFE46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289" name="BC$Y$178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868B86A-57A0-4A4A-B472-AB429902DB5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291" name="BC$Y$178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011DE28-03C9-4897-9D05-5CCC8EC655B4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293" name="BC$Y$178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D8C30B4-E188-446F-9A27-5EEEC6203DE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295" name="BC$Y$178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BD96C65-53C7-4ED4-BBA6-4A5991DA1B8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297" name="BC$Y$178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C8750DB-1B56-4A5A-B769-53930958FFC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299" name="BC$Y$178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9D30F4D-2FCC-44E2-92E7-CD339792937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301" name="BC$Y$178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22C01BB-C783-4F7B-AE5C-25543FDF8E3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303" name="BC$Y$178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659525D-E596-4007-90D4-97C716D1325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305" name="BC$Y$178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4778FFC-479E-42C8-9AEF-4201236F0B0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307" name="BC$Y$178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01E2258-1432-4302-AE7A-2E4C63752CB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309" name="BC$Y$178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F1E456A-30FB-4AD5-88DB-733B1A1B543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311" name="BC$Y$178#BR26">
                                      <a:extLst>
                                        <a:ext uri="{FF2B5EF4-FFF2-40B4-BE49-F238E27FC236}">
                                          <a16:creationId xmlns:a16="http://schemas.microsoft.com/office/drawing/2014/main" id="{1F2A82D4-9FB5-4DD0-ACD2-01994B20399B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313" name="BC$Y$178#BR27">
                                    <a:extLst>
                                      <a:ext uri="{FF2B5EF4-FFF2-40B4-BE49-F238E27FC236}">
                                        <a16:creationId xmlns:a16="http://schemas.microsoft.com/office/drawing/2014/main" id="{A52D9A87-03DD-4A6F-97A6-2C39568840E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315" name="BC$Y$178#BR28">
                                  <a:extLst>
                                    <a:ext uri="{FF2B5EF4-FFF2-40B4-BE49-F238E27FC236}">
                                      <a16:creationId xmlns:a16="http://schemas.microsoft.com/office/drawing/2014/main" id="{AEFF37FF-821B-48EA-B03E-576E79C2F701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317" name="BC$Y$178#BR29">
                                <a:extLst>
                                  <a:ext uri="{FF2B5EF4-FFF2-40B4-BE49-F238E27FC236}">
                                    <a16:creationId xmlns:a16="http://schemas.microsoft.com/office/drawing/2014/main" id="{21FCDCD4-E9F9-44F5-B6EE-B5CF46D5E52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319" name="BC$Y$178#BR30">
                              <a:extLst>
                                <a:ext uri="{FF2B5EF4-FFF2-40B4-BE49-F238E27FC236}">
                                  <a16:creationId xmlns:a16="http://schemas.microsoft.com/office/drawing/2014/main" id="{9BA8C239-3491-467F-BCA9-71ED343D4F2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321" name="BC$Y$178#BR31">
                            <a:extLst>
                              <a:ext uri="{FF2B5EF4-FFF2-40B4-BE49-F238E27FC236}">
                                <a16:creationId xmlns:a16="http://schemas.microsoft.com/office/drawing/2014/main" id="{1BB48972-DA3B-4A52-83A3-058AB3CF508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323" name="BC$Y$178#BR32">
                          <a:extLst>
                            <a:ext uri="{FF2B5EF4-FFF2-40B4-BE49-F238E27FC236}">
                              <a16:creationId xmlns:a16="http://schemas.microsoft.com/office/drawing/2014/main" id="{60B6CBD7-FD2F-493F-A230-CA7D26E8BFD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325" name="BC$Y$178#BR33">
                        <a:extLst>
                          <a:ext uri="{FF2B5EF4-FFF2-40B4-BE49-F238E27FC236}">
                            <a16:creationId xmlns:a16="http://schemas.microsoft.com/office/drawing/2014/main" id="{FD4D5C5F-4597-4CCF-8838-A28D6BE10AA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327" name="BC$Y$178#BR34">
                      <a:extLst>
                        <a:ext uri="{FF2B5EF4-FFF2-40B4-BE49-F238E27FC236}">
                          <a16:creationId xmlns:a16="http://schemas.microsoft.com/office/drawing/2014/main" id="{D36EF661-5F29-4740-A8AB-2E9171860F1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329" name="BC$Y$178#BR35">
                    <a:extLst>
                      <a:ext uri="{FF2B5EF4-FFF2-40B4-BE49-F238E27FC236}">
                        <a16:creationId xmlns:a16="http://schemas.microsoft.com/office/drawing/2014/main" id="{E2C1F64B-EAE2-4F69-93FE-89E539F6748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331" name="BC$Y$178#BR36">
                  <a:extLst>
                    <a:ext uri="{FF2B5EF4-FFF2-40B4-BE49-F238E27FC236}">
                      <a16:creationId xmlns:a16="http://schemas.microsoft.com/office/drawing/2014/main" id="{72D270FF-D6B6-48A9-A7B1-A037DA82DD94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333" name="BC$Y$178#BR37">
                <a:extLst>
                  <a:ext uri="{FF2B5EF4-FFF2-40B4-BE49-F238E27FC236}">
                    <a16:creationId xmlns:a16="http://schemas.microsoft.com/office/drawing/2014/main" id="{1BDE8E74-1C58-42B3-AE07-AF72A3D3C1B3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335" name="BC$Y$178#BR38">
              <a:extLst>
                <a:ext uri="{FF2B5EF4-FFF2-40B4-BE49-F238E27FC236}">
                  <a16:creationId xmlns:a16="http://schemas.microsoft.com/office/drawing/2014/main" id="{6F670F9B-6EFD-491E-B90F-ED37BB9058F9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337" name="BC$Y$178#BR39">
            <a:extLst>
              <a:ext uri="{FF2B5EF4-FFF2-40B4-BE49-F238E27FC236}">
                <a16:creationId xmlns:a16="http://schemas.microsoft.com/office/drawing/2014/main" id="{C10696B6-C4C6-4A31-9F56-6713322F738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184</xdr:row>
      <xdr:rowOff>9525</xdr:rowOff>
    </xdr:from>
    <xdr:to>
      <xdr:col>13</xdr:col>
      <xdr:colOff>200025</xdr:colOff>
      <xdr:row>186</xdr:row>
      <xdr:rowOff>9525</xdr:rowOff>
    </xdr:to>
    <xdr:grpSp>
      <xdr:nvGrpSpPr>
        <xdr:cNvPr id="6417" name="BC$K$178#GR">
          <a:extLst>
            <a:ext uri="{FF2B5EF4-FFF2-40B4-BE49-F238E27FC236}">
              <a16:creationId xmlns:a16="http://schemas.microsoft.com/office/drawing/2014/main" id="{EA2986FA-CF49-49E1-B72D-EC2B9E5CA935}"/>
            </a:ext>
          </a:extLst>
        </xdr:cNvPr>
        <xdr:cNvGrpSpPr/>
      </xdr:nvGrpSpPr>
      <xdr:grpSpPr>
        <a:xfrm>
          <a:off x="2667000" y="34966275"/>
          <a:ext cx="381000" cy="381000"/>
          <a:chOff x="0" y="0"/>
          <a:chExt cx="381000" cy="381000"/>
        </a:xfrm>
      </xdr:grpSpPr>
      <xdr:grpSp>
        <xdr:nvGrpSpPr>
          <xdr:cNvPr id="6415" name="BC$K$178#GR">
            <a:extLst>
              <a:ext uri="{FF2B5EF4-FFF2-40B4-BE49-F238E27FC236}">
                <a16:creationId xmlns:a16="http://schemas.microsoft.com/office/drawing/2014/main" id="{B642F352-9B08-4D30-874E-1ACCFC93DA5C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413" name="BC$K$178#GR">
              <a:extLst>
                <a:ext uri="{FF2B5EF4-FFF2-40B4-BE49-F238E27FC236}">
                  <a16:creationId xmlns:a16="http://schemas.microsoft.com/office/drawing/2014/main" id="{E32FF619-3E2B-46BF-8F13-21B76C0E98B3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411" name="BC$K$178#GR">
                <a:extLst>
                  <a:ext uri="{FF2B5EF4-FFF2-40B4-BE49-F238E27FC236}">
                    <a16:creationId xmlns:a16="http://schemas.microsoft.com/office/drawing/2014/main" id="{CF34A803-9031-4000-B906-F342FF8517EA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409" name="BC$K$178#GR">
                  <a:extLst>
                    <a:ext uri="{FF2B5EF4-FFF2-40B4-BE49-F238E27FC236}">
                      <a16:creationId xmlns:a16="http://schemas.microsoft.com/office/drawing/2014/main" id="{E2B6D5BE-95F0-49E8-A895-7B2E4D33459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407" name="BC$K$178#GR">
                    <a:extLst>
                      <a:ext uri="{FF2B5EF4-FFF2-40B4-BE49-F238E27FC236}">
                        <a16:creationId xmlns:a16="http://schemas.microsoft.com/office/drawing/2014/main" id="{39E882E0-1EF9-4FDB-ADE3-DCD5C8D3A5D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405" name="BC$K$178#GR">
                      <a:extLst>
                        <a:ext uri="{FF2B5EF4-FFF2-40B4-BE49-F238E27FC236}">
                          <a16:creationId xmlns:a16="http://schemas.microsoft.com/office/drawing/2014/main" id="{D13B8AB1-6ADB-455C-A89A-62BF7B16AC47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403" name="BC$K$178#GR">
                        <a:extLst>
                          <a:ext uri="{FF2B5EF4-FFF2-40B4-BE49-F238E27FC236}">
                            <a16:creationId xmlns:a16="http://schemas.microsoft.com/office/drawing/2014/main" id="{E518D0FF-ED34-48E6-AB19-F2EBEDA7820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401" name="BC$K$178#GR">
                          <a:extLst>
                            <a:ext uri="{FF2B5EF4-FFF2-40B4-BE49-F238E27FC236}">
                              <a16:creationId xmlns:a16="http://schemas.microsoft.com/office/drawing/2014/main" id="{A394991E-18A3-406A-8D4D-A3002C8A846F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399" name="BC$K$178#GR">
                            <a:extLst>
                              <a:ext uri="{FF2B5EF4-FFF2-40B4-BE49-F238E27FC236}">
                                <a16:creationId xmlns:a16="http://schemas.microsoft.com/office/drawing/2014/main" id="{681CC3E6-C003-47D6-9CC4-56282B69EEE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397" name="BC$K$178#GR">
                              <a:extLst>
                                <a:ext uri="{FF2B5EF4-FFF2-40B4-BE49-F238E27FC236}">
                                  <a16:creationId xmlns:a16="http://schemas.microsoft.com/office/drawing/2014/main" id="{7DC8AB57-24BF-43B9-B68A-C6C54705C63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395" name="BC$K$178#GR">
                                <a:extLst>
                                  <a:ext uri="{FF2B5EF4-FFF2-40B4-BE49-F238E27FC236}">
                                    <a16:creationId xmlns:a16="http://schemas.microsoft.com/office/drawing/2014/main" id="{0B172AE9-5E41-4E73-83EF-96CDC596E56D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393" name="BC$K$178#GR">
                                  <a:extLst>
                                    <a:ext uri="{FF2B5EF4-FFF2-40B4-BE49-F238E27FC236}">
                                      <a16:creationId xmlns:a16="http://schemas.microsoft.com/office/drawing/2014/main" id="{AFD94A80-E03F-4CE5-96D2-6908F4503EA1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391" name="BC$K$178#GR">
                                    <a:extLst>
                                      <a:ext uri="{FF2B5EF4-FFF2-40B4-BE49-F238E27FC236}">
                                        <a16:creationId xmlns:a16="http://schemas.microsoft.com/office/drawing/2014/main" id="{BD2E85C0-B8FB-4ABF-8605-D9AC0496F106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389" name="BC$K$178#GR">
                                      <a:extLst>
                                        <a:ext uri="{FF2B5EF4-FFF2-40B4-BE49-F238E27FC236}">
                                          <a16:creationId xmlns:a16="http://schemas.microsoft.com/office/drawing/2014/main" id="{400BD10C-A6BB-4884-8054-3DFA6137446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387" name="BC$K$17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5D80E3D-184B-4653-BB4C-3CB56939D01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385" name="BC$K$17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D5DAEDC-7819-423E-A4CA-AB59CEA23B04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383" name="BC$K$17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152788B-FFDE-4222-9A6C-96DDEB72C043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381" name="BC$K$17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010FC5C-683A-4355-9843-8E1B94BF2FC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379" name="BC$K$17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97C5E3F-5628-4700-B7E2-17320BA7BD2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377" name="BC$K$17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F0DC1E7-4BFC-4C63-AAA1-B6691973980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375" name="BC$K$17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C1B5AED-466E-41DE-878F-B3D8F7EA9C38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373" name="BC$K$17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4F8C8C7-CA69-455F-B1A1-651F9F6F628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371" name="BC$K$17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4F6DA8A-DD88-48C1-A26E-AEEF7B038D71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369" name="BC$K$17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2B309FD-6217-40D7-B613-5AFD27F06BCB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367" name="BC$K$17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8601463-50AF-4F7D-BC6F-983C43DB79D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365" name="BC$K$17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DB7EE86-CC99-436B-A37A-082EAB6E9FC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363" name="BC$K$17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32B644E-101C-4DF2-9CBE-DF2FA4755503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361" name="BC$K$17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AF49F96-0C5E-4AB6-9A94-15142C1E595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359" name="BC$K$17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4CA0D9A-7E1E-42C4-B482-325A9BF3B7E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357" name="BC$K$17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770CFE7-C017-49EA-86BB-0D7D2204D61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355" name="BC$K$17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EC2C1AE-2A70-4B7C-8436-8280AEEE5F8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353" name="BC$K$17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77EACF8-4CB8-4F3E-AE9F-7A3BA674E2B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351" name="BC$K$17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0A80A85-998D-46B7-81F4-E550EE37B01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349" name="BC$K$17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A7CF2E4-BA58-447C-9593-D337CE1C636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347" name="BC$K$17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B7AD2C6-9661-4EA4-B441-78A46C643BC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345" name="BC$K$17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344D830-8B43-407B-ABE9-E294E26FB55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343" name="BC$K$178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2DCFC53-75FF-4B28-A0A8-9A36AE54F75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341" name="BC$K$178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DA95ACB-AF8A-48C3-ADAA-8D482CE87B4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339" name="BC$K$178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70CFF94-BF57-4DAC-9B55-E80A3EBBE80F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340" name="BC$K$178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F9CEE96-F67C-495C-8267-AD5843FA5F59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342" name="BC$K$178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5C91F3E-5EF2-4B31-8ABA-700EF35BC91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344" name="BC$K$178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B552D18-B546-4536-861B-1F1A65DB990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346" name="BC$K$178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6AA8AF0-D0B0-48BA-A465-8FBDE86C408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348" name="BC$K$178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0D630B9-C5BA-49D0-A40A-40215F424E7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350" name="BC$K$178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0967597-6E33-437A-A838-BA9D506DC9C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352" name="BC$K$178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139F7B0-5EAE-493F-B13E-FB2D91888B6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354" name="BC$K$178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78D95F2-7972-4C30-ADE5-4149CD19A8B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356" name="BC$K$178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4406963-7138-4B57-90AD-D927820C045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358" name="BC$K$178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269BB53-B425-476F-B42E-3298CBFA9F6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360" name="BC$K$178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8285C17-2C2B-4B95-872B-F9655F21E1C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362" name="BC$K$178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808912D-3B15-4F6C-B4AA-CD2CB433505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364" name="BC$K$178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29C2E33-4DA8-4664-9881-D68E19EC648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366" name="BC$K$178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1A9E5FF-6742-42AE-9BAD-411CFBFBEEC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368" name="BC$K$178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5EB09A1-29BE-40EB-A3F1-53F7339ADD5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370" name="BC$K$178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ED1B24F-78CC-435F-BE72-7F2D0C64F62D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372" name="BC$K$178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1CDD2B0-901B-4F97-969A-C6EA3D1F7822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374" name="BC$K$178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239E9CE-4C40-4DD9-846A-8B5A2BBAB358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376" name="BC$K$178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C9AFFF3-A6CA-4FF4-B79D-0A081232BB0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378" name="BC$K$178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935358B-B7EF-41D9-A015-817BCCEEC55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380" name="BC$K$178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C053B63-FB8E-4B4D-99E0-66D8D905CB25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382" name="BC$K$178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06D575B-67DA-43CB-8245-E521124166A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384" name="BC$K$178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DF0987F-0E66-48FA-9247-9F34BED1372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386" name="BC$K$178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78E3E0A-AF6F-43AC-8588-2C3EC5DD5DF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388" name="BC$K$178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2066714-DC4A-4B66-85FB-910CECDC5DAA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390" name="BC$K$178#BR26">
                                      <a:extLst>
                                        <a:ext uri="{FF2B5EF4-FFF2-40B4-BE49-F238E27FC236}">
                                          <a16:creationId xmlns:a16="http://schemas.microsoft.com/office/drawing/2014/main" id="{5562DBB0-E4E0-4039-B1E7-72F6D5F818C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392" name="BC$K$178#BR27">
                                    <a:extLst>
                                      <a:ext uri="{FF2B5EF4-FFF2-40B4-BE49-F238E27FC236}">
                                        <a16:creationId xmlns:a16="http://schemas.microsoft.com/office/drawing/2014/main" id="{63C4F739-2232-411D-9623-8E08342B507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394" name="BC$K$178#BR28">
                                  <a:extLst>
                                    <a:ext uri="{FF2B5EF4-FFF2-40B4-BE49-F238E27FC236}">
                                      <a16:creationId xmlns:a16="http://schemas.microsoft.com/office/drawing/2014/main" id="{2EE1BF09-306A-4DFA-96E2-125632AFA5C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396" name="BC$K$178#BR29">
                                <a:extLst>
                                  <a:ext uri="{FF2B5EF4-FFF2-40B4-BE49-F238E27FC236}">
                                    <a16:creationId xmlns:a16="http://schemas.microsoft.com/office/drawing/2014/main" id="{C81AD7B0-A809-43F4-B675-F61A15F5D54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398" name="BC$K$178#BR30">
                              <a:extLst>
                                <a:ext uri="{FF2B5EF4-FFF2-40B4-BE49-F238E27FC236}">
                                  <a16:creationId xmlns:a16="http://schemas.microsoft.com/office/drawing/2014/main" id="{4D6B9B49-1D0E-4D30-91AB-392E8ED1F48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400" name="BC$K$178#BR31">
                            <a:extLst>
                              <a:ext uri="{FF2B5EF4-FFF2-40B4-BE49-F238E27FC236}">
                                <a16:creationId xmlns:a16="http://schemas.microsoft.com/office/drawing/2014/main" id="{D059FCF3-C9A9-4CCE-9643-309BE2ECB3BB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402" name="BC$K$178#BR32">
                          <a:extLst>
                            <a:ext uri="{FF2B5EF4-FFF2-40B4-BE49-F238E27FC236}">
                              <a16:creationId xmlns:a16="http://schemas.microsoft.com/office/drawing/2014/main" id="{9D54A01D-A77B-4535-9F8E-C652D5744B3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404" name="BC$K$178#BR33">
                        <a:extLst>
                          <a:ext uri="{FF2B5EF4-FFF2-40B4-BE49-F238E27FC236}">
                            <a16:creationId xmlns:a16="http://schemas.microsoft.com/office/drawing/2014/main" id="{F85BBFF2-4708-4CB7-88EA-27AB6DB2A2D7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406" name="BC$K$178#BR34">
                      <a:extLst>
                        <a:ext uri="{FF2B5EF4-FFF2-40B4-BE49-F238E27FC236}">
                          <a16:creationId xmlns:a16="http://schemas.microsoft.com/office/drawing/2014/main" id="{51F20450-F9A7-4125-BD2E-3466767E5BAD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408" name="BC$K$178#BR35">
                    <a:extLst>
                      <a:ext uri="{FF2B5EF4-FFF2-40B4-BE49-F238E27FC236}">
                        <a16:creationId xmlns:a16="http://schemas.microsoft.com/office/drawing/2014/main" id="{5C96CF9B-7B5F-441F-948D-588354204A95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410" name="BC$K$178#BR36">
                  <a:extLst>
                    <a:ext uri="{FF2B5EF4-FFF2-40B4-BE49-F238E27FC236}">
                      <a16:creationId xmlns:a16="http://schemas.microsoft.com/office/drawing/2014/main" id="{DCCA762E-F717-4530-BDDB-01B3328C70C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412" name="BC$K$178#BR37">
                <a:extLst>
                  <a:ext uri="{FF2B5EF4-FFF2-40B4-BE49-F238E27FC236}">
                    <a16:creationId xmlns:a16="http://schemas.microsoft.com/office/drawing/2014/main" id="{3CE93702-8FA5-49C9-9265-2B072200FEF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14" name="BC$K$178#BR38">
              <a:extLst>
                <a:ext uri="{FF2B5EF4-FFF2-40B4-BE49-F238E27FC236}">
                  <a16:creationId xmlns:a16="http://schemas.microsoft.com/office/drawing/2014/main" id="{0D1D0171-6677-4174-9F1B-84E1EFF8D718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416" name="BC$K$178#BR39">
            <a:extLst>
              <a:ext uri="{FF2B5EF4-FFF2-40B4-BE49-F238E27FC236}">
                <a16:creationId xmlns:a16="http://schemas.microsoft.com/office/drawing/2014/main" id="{161A9738-267B-4024-BCA2-88DE58AF22D2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195</xdr:row>
      <xdr:rowOff>0</xdr:rowOff>
    </xdr:from>
    <xdr:to>
      <xdr:col>13</xdr:col>
      <xdr:colOff>209550</xdr:colOff>
      <xdr:row>197</xdr:row>
      <xdr:rowOff>0</xdr:rowOff>
    </xdr:to>
    <xdr:grpSp>
      <xdr:nvGrpSpPr>
        <xdr:cNvPr id="6496" name="BC$K$189#GR">
          <a:extLst>
            <a:ext uri="{FF2B5EF4-FFF2-40B4-BE49-F238E27FC236}">
              <a16:creationId xmlns:a16="http://schemas.microsoft.com/office/drawing/2014/main" id="{672D8C98-7CB1-422C-A4C5-AAA21C1E73EA}"/>
            </a:ext>
          </a:extLst>
        </xdr:cNvPr>
        <xdr:cNvGrpSpPr/>
      </xdr:nvGrpSpPr>
      <xdr:grpSpPr>
        <a:xfrm>
          <a:off x="2676525" y="37052250"/>
          <a:ext cx="381000" cy="381000"/>
          <a:chOff x="0" y="0"/>
          <a:chExt cx="381000" cy="381000"/>
        </a:xfrm>
      </xdr:grpSpPr>
      <xdr:grpSp>
        <xdr:nvGrpSpPr>
          <xdr:cNvPr id="6494" name="BC$K$189#GR">
            <a:extLst>
              <a:ext uri="{FF2B5EF4-FFF2-40B4-BE49-F238E27FC236}">
                <a16:creationId xmlns:a16="http://schemas.microsoft.com/office/drawing/2014/main" id="{729535B2-6A9F-45AE-ABF3-2FE650FE9F8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492" name="BC$K$189#GR">
              <a:extLst>
                <a:ext uri="{FF2B5EF4-FFF2-40B4-BE49-F238E27FC236}">
                  <a16:creationId xmlns:a16="http://schemas.microsoft.com/office/drawing/2014/main" id="{BF3CFA77-7836-46E6-AFEC-3D5D5A973364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490" name="BC$K$189#GR">
                <a:extLst>
                  <a:ext uri="{FF2B5EF4-FFF2-40B4-BE49-F238E27FC236}">
                    <a16:creationId xmlns:a16="http://schemas.microsoft.com/office/drawing/2014/main" id="{5645FFD0-34B7-449C-B2BE-0FCFB66774E3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488" name="BC$K$189#GR">
                  <a:extLst>
                    <a:ext uri="{FF2B5EF4-FFF2-40B4-BE49-F238E27FC236}">
                      <a16:creationId xmlns:a16="http://schemas.microsoft.com/office/drawing/2014/main" id="{CD660E26-ABAB-4979-88AC-A66724BFE3A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486" name="BC$K$189#GR">
                    <a:extLst>
                      <a:ext uri="{FF2B5EF4-FFF2-40B4-BE49-F238E27FC236}">
                        <a16:creationId xmlns:a16="http://schemas.microsoft.com/office/drawing/2014/main" id="{CC3D0630-E2D2-4563-9015-15C364EBAB0B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484" name="BC$K$189#GR">
                      <a:extLst>
                        <a:ext uri="{FF2B5EF4-FFF2-40B4-BE49-F238E27FC236}">
                          <a16:creationId xmlns:a16="http://schemas.microsoft.com/office/drawing/2014/main" id="{71AC7C0D-AD5E-4CB0-B4E1-535FDE3FADC1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482" name="BC$K$189#GR">
                        <a:extLst>
                          <a:ext uri="{FF2B5EF4-FFF2-40B4-BE49-F238E27FC236}">
                            <a16:creationId xmlns:a16="http://schemas.microsoft.com/office/drawing/2014/main" id="{2B5781CD-A076-43DA-8A15-A9D5FB5DFD3E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480" name="BC$K$189#GR">
                          <a:extLst>
                            <a:ext uri="{FF2B5EF4-FFF2-40B4-BE49-F238E27FC236}">
                              <a16:creationId xmlns:a16="http://schemas.microsoft.com/office/drawing/2014/main" id="{B7CB9EA2-73FC-45CC-8301-5F5E2D678F1F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478" name="BC$K$189#GR">
                            <a:extLst>
                              <a:ext uri="{FF2B5EF4-FFF2-40B4-BE49-F238E27FC236}">
                                <a16:creationId xmlns:a16="http://schemas.microsoft.com/office/drawing/2014/main" id="{E6589DCA-5981-4E41-AA46-EA56E2F5C301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476" name="BC$K$189#GR">
                              <a:extLst>
                                <a:ext uri="{FF2B5EF4-FFF2-40B4-BE49-F238E27FC236}">
                                  <a16:creationId xmlns:a16="http://schemas.microsoft.com/office/drawing/2014/main" id="{42133323-55B9-4D72-A38E-CD58232D3A0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474" name="BC$K$189#GR">
                                <a:extLst>
                                  <a:ext uri="{FF2B5EF4-FFF2-40B4-BE49-F238E27FC236}">
                                    <a16:creationId xmlns:a16="http://schemas.microsoft.com/office/drawing/2014/main" id="{B90F25CE-14E3-4536-BFD4-989F5D3C5DC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472" name="BC$K$189#GR">
                                  <a:extLst>
                                    <a:ext uri="{FF2B5EF4-FFF2-40B4-BE49-F238E27FC236}">
                                      <a16:creationId xmlns:a16="http://schemas.microsoft.com/office/drawing/2014/main" id="{5C77755E-A29B-4448-A9EF-A0A9429121D4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470" name="BC$K$189#GR">
                                    <a:extLst>
                                      <a:ext uri="{FF2B5EF4-FFF2-40B4-BE49-F238E27FC236}">
                                        <a16:creationId xmlns:a16="http://schemas.microsoft.com/office/drawing/2014/main" id="{1BC9A0BF-33F9-4E70-B107-B099CB8A27E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468" name="BC$K$189#GR">
                                      <a:extLst>
                                        <a:ext uri="{FF2B5EF4-FFF2-40B4-BE49-F238E27FC236}">
                                          <a16:creationId xmlns:a16="http://schemas.microsoft.com/office/drawing/2014/main" id="{7A4C7008-6909-4F51-A1BC-57178DB21A9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466" name="BC$K$18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E667F2D-14D1-4547-AB68-E345A5203C58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464" name="BC$K$18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E3F63C6-0BBB-4250-BCE8-A4FBB4F0F6B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462" name="BC$K$18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DD16964-057F-4634-994C-9ABD9C4B737B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460" name="BC$K$18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E455349-7C4D-4B01-8CBE-3E207536BBD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458" name="BC$K$18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811B6A0-705A-457A-BBBD-92A43DAC0E1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456" name="BC$K$18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A277374-AD0E-47C1-A242-956D1EF720C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454" name="BC$K$18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D420222-FA7F-4504-BD83-AFD1685F54A3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452" name="BC$K$18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8618996-5E72-419E-A676-3C1E906A47C3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450" name="BC$K$18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5C6288-A8AA-460B-85FD-7168F66D788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448" name="BC$K$18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F9299E0-A061-4B7D-86D8-5442D5BAC529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446" name="BC$K$18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7157124-CB82-4C72-93B5-04E917D0EC7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444" name="BC$K$18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6E32A71-15C8-45D7-882F-6132F9FF8F0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442" name="BC$K$18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C24F565-AC10-404D-807C-24EF63EF303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440" name="BC$K$18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25EA93B-7155-4D73-9B74-7002D47C909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438" name="BC$K$18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C496C1C-4BBA-485C-96D9-C1FE9DC3F1C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436" name="BC$K$18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1AB0D65-F851-4E5F-BA80-5BC81436FF4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434" name="BC$K$18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52475BA-4DF8-44F9-A7DB-12A5B27606F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432" name="BC$K$18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A97A5CA-0AE6-4313-850D-5482853CBFA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430" name="BC$K$18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022829F-D5F3-4C0F-8324-9DE6DE43374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428" name="BC$K$18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371F09D-2FD1-459A-99B7-04869FD539C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426" name="BC$K$18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CC66607-C558-4555-B7F8-41D4D7BF60A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424" name="BC$K$18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A57825C-9ACD-4256-A659-5EA5F1F26F4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422" name="BC$K$189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5A085B6-E686-44E3-880E-F4C869FD693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420" name="BC$K$189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690D42A-4729-4F3A-BAC0-36DF2C7C8DF6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418" name="BC$K$189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764B10E-A083-4182-8CAC-E33080D7AC9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419" name="BC$K$189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8BD2F2B-CD8A-4897-8329-7D916982231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421" name="BC$K$189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00C3A3E-0BD6-4CAC-8E61-BE7D8D4A4D8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423" name="BC$K$189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E218FF2-8936-42A9-A30E-96E037E9393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425" name="BC$K$189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1C221C0-7571-4FD9-BAFF-460601774DD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427" name="BC$K$189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6F53520-F949-44D2-A03B-F6C693E7099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429" name="BC$K$189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F6D9A34-E40A-4AEE-8853-F14CE50A8A2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431" name="BC$K$189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88CE460-968E-429B-8AB1-06DD911019B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433" name="BC$K$189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102FFB4-384D-497C-A2B3-78786986AD9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435" name="BC$K$189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97DCF07-5CDE-4366-B201-3284A761D7B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437" name="BC$K$189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783F28C-EBF2-4613-839B-53B18189C61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439" name="BC$K$189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548B568-68F6-409A-B91A-6758ABD0E77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441" name="BC$K$189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9F577D5-9441-46A2-818E-1531FD3685A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443" name="BC$K$189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410EEF4-3C27-4911-AE8B-E4433383D06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445" name="BC$K$189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2EDEF6F-FFD1-4F07-9C62-F739D74DB9B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447" name="BC$K$189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EF4EDD8-371C-4C1A-8045-1D40BC9D791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449" name="BC$K$189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50D7997-A961-4F10-8784-458476C438D4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451" name="BC$K$189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DA297DB-AE98-4477-B51B-5007373364F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453" name="BC$K$189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51DCF87-0418-4D64-A210-388F58848EF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455" name="BC$K$189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CE6D923-5450-4219-ACDE-A8159A27AFA9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457" name="BC$K$189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5ECE8E1-F7AA-47BF-9202-C7079AD726A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459" name="BC$K$189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981B4DE-0B65-433C-A14D-4707D910CDF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461" name="BC$K$189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330C2CA-B81C-4ECE-9A92-D282C879480C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463" name="BC$K$189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CFCAB18-0F84-4034-8DEB-B92FB7F21D3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465" name="BC$K$189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A823F04-C73C-4435-8E3A-D4A60CC7F56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467" name="BC$K$189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81768AE-88CC-4B7E-B7CA-A88D73696A6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469" name="BC$K$189#BR26">
                                      <a:extLst>
                                        <a:ext uri="{FF2B5EF4-FFF2-40B4-BE49-F238E27FC236}">
                                          <a16:creationId xmlns:a16="http://schemas.microsoft.com/office/drawing/2014/main" id="{2FF22278-40DE-47B5-8183-83DF59FC5FF4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471" name="BC$K$189#BR27">
                                    <a:extLst>
                                      <a:ext uri="{FF2B5EF4-FFF2-40B4-BE49-F238E27FC236}">
                                        <a16:creationId xmlns:a16="http://schemas.microsoft.com/office/drawing/2014/main" id="{9FAEB28C-FC5F-4342-9030-0E24637DD45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473" name="BC$K$189#BR28">
                                  <a:extLst>
                                    <a:ext uri="{FF2B5EF4-FFF2-40B4-BE49-F238E27FC236}">
                                      <a16:creationId xmlns:a16="http://schemas.microsoft.com/office/drawing/2014/main" id="{16262997-2E6F-42D1-94DF-DA58A2B5475C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475" name="BC$K$189#BR29">
                                <a:extLst>
                                  <a:ext uri="{FF2B5EF4-FFF2-40B4-BE49-F238E27FC236}">
                                    <a16:creationId xmlns:a16="http://schemas.microsoft.com/office/drawing/2014/main" id="{DD1A48EC-C553-4725-BCA0-9A7232C4183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477" name="BC$K$189#BR30">
                              <a:extLst>
                                <a:ext uri="{FF2B5EF4-FFF2-40B4-BE49-F238E27FC236}">
                                  <a16:creationId xmlns:a16="http://schemas.microsoft.com/office/drawing/2014/main" id="{EF0E5495-BF0C-4C01-89EB-3E16E4C8620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479" name="BC$K$189#BR31">
                            <a:extLst>
                              <a:ext uri="{FF2B5EF4-FFF2-40B4-BE49-F238E27FC236}">
                                <a16:creationId xmlns:a16="http://schemas.microsoft.com/office/drawing/2014/main" id="{1168DD23-2876-4803-A5EF-08071FA94E8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481" name="BC$K$189#BR32">
                          <a:extLst>
                            <a:ext uri="{FF2B5EF4-FFF2-40B4-BE49-F238E27FC236}">
                              <a16:creationId xmlns:a16="http://schemas.microsoft.com/office/drawing/2014/main" id="{C9D04AC2-81B0-46C6-A0B6-E05CD79987A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483" name="BC$K$189#BR33">
                        <a:extLst>
                          <a:ext uri="{FF2B5EF4-FFF2-40B4-BE49-F238E27FC236}">
                            <a16:creationId xmlns:a16="http://schemas.microsoft.com/office/drawing/2014/main" id="{4AEBFAFE-E265-4371-AA4E-15632F14A153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485" name="BC$K$189#BR34">
                      <a:extLst>
                        <a:ext uri="{FF2B5EF4-FFF2-40B4-BE49-F238E27FC236}">
                          <a16:creationId xmlns:a16="http://schemas.microsoft.com/office/drawing/2014/main" id="{91E68BF4-AFDC-4B3E-9959-DAB5B849471D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487" name="BC$K$189#BR35">
                    <a:extLst>
                      <a:ext uri="{FF2B5EF4-FFF2-40B4-BE49-F238E27FC236}">
                        <a16:creationId xmlns:a16="http://schemas.microsoft.com/office/drawing/2014/main" id="{49CB3531-AF44-4912-A57B-9AFF7849656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489" name="BC$K$189#BR36">
                  <a:extLst>
                    <a:ext uri="{FF2B5EF4-FFF2-40B4-BE49-F238E27FC236}">
                      <a16:creationId xmlns:a16="http://schemas.microsoft.com/office/drawing/2014/main" id="{5C101CEC-A7CF-4264-81EA-206473C3209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491" name="BC$K$189#BR37">
                <a:extLst>
                  <a:ext uri="{FF2B5EF4-FFF2-40B4-BE49-F238E27FC236}">
                    <a16:creationId xmlns:a16="http://schemas.microsoft.com/office/drawing/2014/main" id="{03C2D742-E05A-4A34-8873-D789B70F5EAE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93" name="BC$K$189#BR38">
              <a:extLst>
                <a:ext uri="{FF2B5EF4-FFF2-40B4-BE49-F238E27FC236}">
                  <a16:creationId xmlns:a16="http://schemas.microsoft.com/office/drawing/2014/main" id="{4796EEBF-A15A-4DE7-8817-D454D84B695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495" name="BC$K$189#BR39">
            <a:extLst>
              <a:ext uri="{FF2B5EF4-FFF2-40B4-BE49-F238E27FC236}">
                <a16:creationId xmlns:a16="http://schemas.microsoft.com/office/drawing/2014/main" id="{96569E28-59CF-432A-964E-F7BFAED704B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195</xdr:row>
      <xdr:rowOff>0</xdr:rowOff>
    </xdr:from>
    <xdr:to>
      <xdr:col>27</xdr:col>
      <xdr:colOff>209550</xdr:colOff>
      <xdr:row>197</xdr:row>
      <xdr:rowOff>0</xdr:rowOff>
    </xdr:to>
    <xdr:grpSp>
      <xdr:nvGrpSpPr>
        <xdr:cNvPr id="6571" name="BC$Y$189#GR">
          <a:extLst>
            <a:ext uri="{FF2B5EF4-FFF2-40B4-BE49-F238E27FC236}">
              <a16:creationId xmlns:a16="http://schemas.microsoft.com/office/drawing/2014/main" id="{05519A9F-86D3-49CE-907D-3A68A223B894}"/>
            </a:ext>
          </a:extLst>
        </xdr:cNvPr>
        <xdr:cNvGrpSpPr/>
      </xdr:nvGrpSpPr>
      <xdr:grpSpPr>
        <a:xfrm>
          <a:off x="5791200" y="37052250"/>
          <a:ext cx="381000" cy="381000"/>
          <a:chOff x="0" y="0"/>
          <a:chExt cx="381000" cy="381000"/>
        </a:xfrm>
      </xdr:grpSpPr>
      <xdr:grpSp>
        <xdr:nvGrpSpPr>
          <xdr:cNvPr id="6569" name="BC$Y$189#GR">
            <a:extLst>
              <a:ext uri="{FF2B5EF4-FFF2-40B4-BE49-F238E27FC236}">
                <a16:creationId xmlns:a16="http://schemas.microsoft.com/office/drawing/2014/main" id="{05E8BE03-CD54-48C9-817C-71783070F5B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567" name="BC$Y$189#GR">
              <a:extLst>
                <a:ext uri="{FF2B5EF4-FFF2-40B4-BE49-F238E27FC236}">
                  <a16:creationId xmlns:a16="http://schemas.microsoft.com/office/drawing/2014/main" id="{1DC7003E-6A22-418A-AD39-A5E6633DEC1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565" name="BC$Y$189#GR">
                <a:extLst>
                  <a:ext uri="{FF2B5EF4-FFF2-40B4-BE49-F238E27FC236}">
                    <a16:creationId xmlns:a16="http://schemas.microsoft.com/office/drawing/2014/main" id="{B2B02CD7-73EA-440A-8724-14E56C4C9A3D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563" name="BC$Y$189#GR">
                  <a:extLst>
                    <a:ext uri="{FF2B5EF4-FFF2-40B4-BE49-F238E27FC236}">
                      <a16:creationId xmlns:a16="http://schemas.microsoft.com/office/drawing/2014/main" id="{C4A39120-37D7-4FA2-A21C-15805DCBC7E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561" name="BC$Y$189#GR">
                    <a:extLst>
                      <a:ext uri="{FF2B5EF4-FFF2-40B4-BE49-F238E27FC236}">
                        <a16:creationId xmlns:a16="http://schemas.microsoft.com/office/drawing/2014/main" id="{641B775D-4561-4686-B934-F6B76D91E43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559" name="BC$Y$189#GR">
                      <a:extLst>
                        <a:ext uri="{FF2B5EF4-FFF2-40B4-BE49-F238E27FC236}">
                          <a16:creationId xmlns:a16="http://schemas.microsoft.com/office/drawing/2014/main" id="{AD77798C-65F8-436D-BE64-43299C33C601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557" name="BC$Y$189#GR">
                        <a:extLst>
                          <a:ext uri="{FF2B5EF4-FFF2-40B4-BE49-F238E27FC236}">
                            <a16:creationId xmlns:a16="http://schemas.microsoft.com/office/drawing/2014/main" id="{0854418D-BBF0-4DAE-BD8D-0EAA309C4BB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555" name="BC$Y$189#GR">
                          <a:extLst>
                            <a:ext uri="{FF2B5EF4-FFF2-40B4-BE49-F238E27FC236}">
                              <a16:creationId xmlns:a16="http://schemas.microsoft.com/office/drawing/2014/main" id="{76A2C4E3-6F0B-4205-B054-B9FC5640E1D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553" name="BC$Y$189#GR">
                            <a:extLst>
                              <a:ext uri="{FF2B5EF4-FFF2-40B4-BE49-F238E27FC236}">
                                <a16:creationId xmlns:a16="http://schemas.microsoft.com/office/drawing/2014/main" id="{CACFF503-6F3A-45C0-9D6D-E4BD338B705C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551" name="BC$Y$189#GR">
                              <a:extLst>
                                <a:ext uri="{FF2B5EF4-FFF2-40B4-BE49-F238E27FC236}">
                                  <a16:creationId xmlns:a16="http://schemas.microsoft.com/office/drawing/2014/main" id="{897CCCE1-B462-40D0-B437-A55699FCC03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549" name="BC$Y$189#GR">
                                <a:extLst>
                                  <a:ext uri="{FF2B5EF4-FFF2-40B4-BE49-F238E27FC236}">
                                    <a16:creationId xmlns:a16="http://schemas.microsoft.com/office/drawing/2014/main" id="{5D0BAA2D-1A88-4DF6-BA52-F6C238F77C82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547" name="BC$Y$189#GR">
                                  <a:extLst>
                                    <a:ext uri="{FF2B5EF4-FFF2-40B4-BE49-F238E27FC236}">
                                      <a16:creationId xmlns:a16="http://schemas.microsoft.com/office/drawing/2014/main" id="{34CE9B13-05F7-46FF-86D5-AB1121C7521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545" name="BC$Y$189#GR">
                                    <a:extLst>
                                      <a:ext uri="{FF2B5EF4-FFF2-40B4-BE49-F238E27FC236}">
                                        <a16:creationId xmlns:a16="http://schemas.microsoft.com/office/drawing/2014/main" id="{AC1C11C3-471A-4FE3-8E1E-2855EF60FCB9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543" name="BC$Y$189#GR">
                                      <a:extLst>
                                        <a:ext uri="{FF2B5EF4-FFF2-40B4-BE49-F238E27FC236}">
                                          <a16:creationId xmlns:a16="http://schemas.microsoft.com/office/drawing/2014/main" id="{B0189DEE-780C-4F64-A2B7-ABAA520FDF6B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541" name="BC$Y$18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925E045-CEC5-4EAE-B5A8-3DEBAEC7398D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539" name="BC$Y$18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6D9EE38-28F5-4EA9-AE56-5BF65E1CC0EB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537" name="BC$Y$18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4577539-A8AC-40AD-B4C4-70EEC3C52F81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535" name="BC$Y$18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A92F67E-6FE6-458E-A3CB-1EEB0BFC0B99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533" name="BC$Y$18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FAD6AB2-7110-49A2-A8F7-5195E4C76DFF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531" name="BC$Y$18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5AE7E8F-1A7E-4449-B619-192485A3B61B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529" name="BC$Y$18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633AAED-4730-4729-B3F9-8870AC27E4E3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527" name="BC$Y$18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E6659BD-2F11-48A4-86D2-593F678158BC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525" name="BC$Y$18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AD8B571-93FD-45CD-B9CE-3A3A776199D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523" name="BC$Y$18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1402851-14CE-44F3-8E86-947425248FE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521" name="BC$Y$18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F5AE07B-E73B-42FB-9C67-7EFA50413FE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519" name="BC$Y$18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E19AE29-10EC-467F-B518-5D5B712C877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517" name="BC$Y$18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7890B1E-48C0-45D2-88D9-3CD6619795D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515" name="BC$Y$18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B5A6031-813B-491A-8F76-494A857C4ED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513" name="BC$Y$18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C3F5448-C821-4DF0-955F-C740D886520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511" name="BC$Y$18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CD4D12E-9E45-416C-B870-3A598C719EE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509" name="BC$Y$18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9113250-B7F9-457B-8C61-BE005D495DD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507" name="BC$Y$18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8AB6D4C-219B-4B13-ABBD-D95570DADA3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505" name="BC$Y$18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62CD7D9-3A33-491B-918A-41D114EF881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503" name="BC$Y$18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B0D5A7D-8AD4-4846-9007-0946CBA1E76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501" name="BC$Y$18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67730C7-832C-4F48-84FA-369AA32AB72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499" name="BC$Y$18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63A4B04-0177-47A7-8B4D-2292A1798E4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497" name="BC$Y$18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5764547-B5BF-436A-B8E0-D8F7E9D7E13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498" name="BC$Y$18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DD9E27A-CAA5-4ACC-A1F0-25AA6FB3B46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500" name="BC$Y$18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5F126E9-69FA-4026-AFDC-78BEE70D887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502" name="BC$Y$18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98FF39C-EAFD-4368-B21B-F287BFAF3D3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504" name="BC$Y$18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8699D12-0E3E-40F0-ADE2-F6EF436DE6C1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506" name="BC$Y$18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65D3069-EA1E-420F-8D7B-87E6F4EF147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508" name="BC$Y$18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201C95E-B88B-4F6C-A335-0BD78EF287E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510" name="BC$Y$18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81C2F0C-EA50-4CDE-A564-C7AB02C5FAC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512" name="BC$Y$18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F096A48-8BF5-433E-B4A5-95D36CAC077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514" name="BC$Y$18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216C78A-1D83-4DC8-83DF-AFD4B5D8ADA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516" name="BC$Y$18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E20D60A-9AD4-4CB9-86A5-2574725645C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518" name="BC$Y$18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8F0BE95-5B35-4716-91A3-F64214CEED9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520" name="BC$Y$18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6F76FAC-BECE-4520-BC44-11E59687EC2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522" name="BC$Y$18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5E48E16-6829-41D4-94FF-751807B1205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524" name="BC$Y$18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14DC9C7-BCFC-4E0D-8F1A-1408A93E55D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526" name="BC$Y$18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6994ACF-C88D-4C6B-A1E1-0E55488CA1CA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528" name="BC$Y$18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89D9B70-D80C-4EFE-B63F-9D4F29F2E1A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530" name="BC$Y$18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7D19113-9E78-4C13-834D-BA099BFBFD37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532" name="BC$Y$18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7A5C6B4-C924-40D0-8D3E-6B16FE9C7316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534" name="BC$Y$18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4D4F354-EF0E-4FCF-B0B1-D7875562EDE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536" name="BC$Y$18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A301960-E33C-4045-9037-D2CBAEC84A3A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538" name="BC$Y$18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335EE39-546D-478B-B60B-E94EDFFEB4F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540" name="BC$Y$18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B991B84-3783-4495-97CB-D0D980F0B65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542" name="BC$Y$18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1BA6F41-09E7-4322-A8FB-11D0222F98A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544" name="BC$Y$18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6AB48892-10CF-4AFE-887F-DBADF37151D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546" name="BC$Y$189#BR25">
                                    <a:extLst>
                                      <a:ext uri="{FF2B5EF4-FFF2-40B4-BE49-F238E27FC236}">
                                        <a16:creationId xmlns:a16="http://schemas.microsoft.com/office/drawing/2014/main" id="{942572C0-56F0-40AF-A96E-DC508CAA8C6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548" name="BC$Y$189#BR26">
                                  <a:extLst>
                                    <a:ext uri="{FF2B5EF4-FFF2-40B4-BE49-F238E27FC236}">
                                      <a16:creationId xmlns:a16="http://schemas.microsoft.com/office/drawing/2014/main" id="{8EC8635F-881D-4283-A4D8-BA39E950ED9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550" name="BC$Y$189#BR27">
                                <a:extLst>
                                  <a:ext uri="{FF2B5EF4-FFF2-40B4-BE49-F238E27FC236}">
                                    <a16:creationId xmlns:a16="http://schemas.microsoft.com/office/drawing/2014/main" id="{94FB09FB-9245-440D-81E6-04C3F39DB05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552" name="BC$Y$189#BR28">
                              <a:extLst>
                                <a:ext uri="{FF2B5EF4-FFF2-40B4-BE49-F238E27FC236}">
                                  <a16:creationId xmlns:a16="http://schemas.microsoft.com/office/drawing/2014/main" id="{4A698D9A-8C43-44A2-921C-079BF823394B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554" name="BC$Y$189#BR29">
                            <a:extLst>
                              <a:ext uri="{FF2B5EF4-FFF2-40B4-BE49-F238E27FC236}">
                                <a16:creationId xmlns:a16="http://schemas.microsoft.com/office/drawing/2014/main" id="{A5366459-C2D3-4D88-AD7B-051B522AFAA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556" name="BC$Y$189#BR30">
                          <a:extLst>
                            <a:ext uri="{FF2B5EF4-FFF2-40B4-BE49-F238E27FC236}">
                              <a16:creationId xmlns:a16="http://schemas.microsoft.com/office/drawing/2014/main" id="{5FC42F8A-3F39-4CD6-8D6C-D04E5516F47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558" name="BC$Y$189#BR31">
                        <a:extLst>
                          <a:ext uri="{FF2B5EF4-FFF2-40B4-BE49-F238E27FC236}">
                            <a16:creationId xmlns:a16="http://schemas.microsoft.com/office/drawing/2014/main" id="{DF25FD99-01DD-4A34-B77A-859BAEA8238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560" name="BC$Y$189#BR32">
                      <a:extLst>
                        <a:ext uri="{FF2B5EF4-FFF2-40B4-BE49-F238E27FC236}">
                          <a16:creationId xmlns:a16="http://schemas.microsoft.com/office/drawing/2014/main" id="{9991FF9A-18CC-4E79-A61D-A2F450E1EA8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562" name="BC$Y$189#BR33">
                    <a:extLst>
                      <a:ext uri="{FF2B5EF4-FFF2-40B4-BE49-F238E27FC236}">
                        <a16:creationId xmlns:a16="http://schemas.microsoft.com/office/drawing/2014/main" id="{9F718BBC-5C68-47EE-A41A-DD70557E282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564" name="BC$Y$189#BR34">
                  <a:extLst>
                    <a:ext uri="{FF2B5EF4-FFF2-40B4-BE49-F238E27FC236}">
                      <a16:creationId xmlns:a16="http://schemas.microsoft.com/office/drawing/2014/main" id="{FAF99BDA-1BBA-4D1B-A236-9FCB72897B6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566" name="BC$Y$189#BR35">
                <a:extLst>
                  <a:ext uri="{FF2B5EF4-FFF2-40B4-BE49-F238E27FC236}">
                    <a16:creationId xmlns:a16="http://schemas.microsoft.com/office/drawing/2014/main" id="{2112ACA8-7137-4244-88A5-CA835FCC767E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568" name="BC$Y$189#BR36">
              <a:extLst>
                <a:ext uri="{FF2B5EF4-FFF2-40B4-BE49-F238E27FC236}">
                  <a16:creationId xmlns:a16="http://schemas.microsoft.com/office/drawing/2014/main" id="{5AEBDB47-FB8E-4837-8582-FECF252383EB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570" name="BC$Y$189#BR37">
            <a:extLst>
              <a:ext uri="{FF2B5EF4-FFF2-40B4-BE49-F238E27FC236}">
                <a16:creationId xmlns:a16="http://schemas.microsoft.com/office/drawing/2014/main" id="{A988FAAB-3E0D-499B-8045-D45F7B5AB16D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206</xdr:row>
      <xdr:rowOff>9525</xdr:rowOff>
    </xdr:from>
    <xdr:to>
      <xdr:col>27</xdr:col>
      <xdr:colOff>209550</xdr:colOff>
      <xdr:row>208</xdr:row>
      <xdr:rowOff>9525</xdr:rowOff>
    </xdr:to>
    <xdr:grpSp>
      <xdr:nvGrpSpPr>
        <xdr:cNvPr id="6650" name="BC$Y$200#GR">
          <a:extLst>
            <a:ext uri="{FF2B5EF4-FFF2-40B4-BE49-F238E27FC236}">
              <a16:creationId xmlns:a16="http://schemas.microsoft.com/office/drawing/2014/main" id="{84592A74-8037-4204-90EB-9D4DDD2594FC}"/>
            </a:ext>
          </a:extLst>
        </xdr:cNvPr>
        <xdr:cNvGrpSpPr/>
      </xdr:nvGrpSpPr>
      <xdr:grpSpPr>
        <a:xfrm>
          <a:off x="5791200" y="39157275"/>
          <a:ext cx="381000" cy="381000"/>
          <a:chOff x="0" y="0"/>
          <a:chExt cx="381000" cy="381000"/>
        </a:xfrm>
      </xdr:grpSpPr>
      <xdr:grpSp>
        <xdr:nvGrpSpPr>
          <xdr:cNvPr id="6648" name="BC$Y$200#GR">
            <a:extLst>
              <a:ext uri="{FF2B5EF4-FFF2-40B4-BE49-F238E27FC236}">
                <a16:creationId xmlns:a16="http://schemas.microsoft.com/office/drawing/2014/main" id="{96E11E3D-0EA8-4857-BDE4-771FFAC995B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646" name="BC$Y$200#GR">
              <a:extLst>
                <a:ext uri="{FF2B5EF4-FFF2-40B4-BE49-F238E27FC236}">
                  <a16:creationId xmlns:a16="http://schemas.microsoft.com/office/drawing/2014/main" id="{67E9AC6A-6334-4126-B18F-36FD519E219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644" name="BC$Y$200#GR">
                <a:extLst>
                  <a:ext uri="{FF2B5EF4-FFF2-40B4-BE49-F238E27FC236}">
                    <a16:creationId xmlns:a16="http://schemas.microsoft.com/office/drawing/2014/main" id="{D0C3A2CF-B3C3-444F-8DB6-8AB83B6F9A4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642" name="BC$Y$200#GR">
                  <a:extLst>
                    <a:ext uri="{FF2B5EF4-FFF2-40B4-BE49-F238E27FC236}">
                      <a16:creationId xmlns:a16="http://schemas.microsoft.com/office/drawing/2014/main" id="{28A64F7D-B62F-4CA8-A3AB-F68A18E3909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640" name="BC$Y$200#GR">
                    <a:extLst>
                      <a:ext uri="{FF2B5EF4-FFF2-40B4-BE49-F238E27FC236}">
                        <a16:creationId xmlns:a16="http://schemas.microsoft.com/office/drawing/2014/main" id="{5AEF2F2D-A24D-4058-9817-062B7427D37F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638" name="BC$Y$200#GR">
                      <a:extLst>
                        <a:ext uri="{FF2B5EF4-FFF2-40B4-BE49-F238E27FC236}">
                          <a16:creationId xmlns:a16="http://schemas.microsoft.com/office/drawing/2014/main" id="{731C997B-B3B2-488F-8827-B1733D1858A1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636" name="BC$Y$200#GR">
                        <a:extLst>
                          <a:ext uri="{FF2B5EF4-FFF2-40B4-BE49-F238E27FC236}">
                            <a16:creationId xmlns:a16="http://schemas.microsoft.com/office/drawing/2014/main" id="{E1745922-2212-4921-8769-02F5E07EADD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634" name="BC$Y$200#GR">
                          <a:extLst>
                            <a:ext uri="{FF2B5EF4-FFF2-40B4-BE49-F238E27FC236}">
                              <a16:creationId xmlns:a16="http://schemas.microsoft.com/office/drawing/2014/main" id="{8531B25D-D346-4946-89D5-466DE507E8B1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632" name="BC$Y$200#GR">
                            <a:extLst>
                              <a:ext uri="{FF2B5EF4-FFF2-40B4-BE49-F238E27FC236}">
                                <a16:creationId xmlns:a16="http://schemas.microsoft.com/office/drawing/2014/main" id="{4CBE644B-2983-4DCE-83B3-ADE7BB2070D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630" name="BC$Y$200#GR">
                              <a:extLst>
                                <a:ext uri="{FF2B5EF4-FFF2-40B4-BE49-F238E27FC236}">
                                  <a16:creationId xmlns:a16="http://schemas.microsoft.com/office/drawing/2014/main" id="{14F841DD-9C84-4568-A5BF-D87F5A9DA9F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628" name="BC$Y$200#GR">
                                <a:extLst>
                                  <a:ext uri="{FF2B5EF4-FFF2-40B4-BE49-F238E27FC236}">
                                    <a16:creationId xmlns:a16="http://schemas.microsoft.com/office/drawing/2014/main" id="{34B411B5-22F8-486B-BDCF-6449DC9446F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626" name="BC$Y$200#GR">
                                  <a:extLst>
                                    <a:ext uri="{FF2B5EF4-FFF2-40B4-BE49-F238E27FC236}">
                                      <a16:creationId xmlns:a16="http://schemas.microsoft.com/office/drawing/2014/main" id="{7FA8AA8B-6628-4162-9340-DA14E1AED95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624" name="BC$Y$200#GR">
                                    <a:extLst>
                                      <a:ext uri="{FF2B5EF4-FFF2-40B4-BE49-F238E27FC236}">
                                        <a16:creationId xmlns:a16="http://schemas.microsoft.com/office/drawing/2014/main" id="{05DC1A82-469B-4BE0-A8B7-843278E3668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622" name="BC$Y$200#GR">
                                      <a:extLst>
                                        <a:ext uri="{FF2B5EF4-FFF2-40B4-BE49-F238E27FC236}">
                                          <a16:creationId xmlns:a16="http://schemas.microsoft.com/office/drawing/2014/main" id="{58A3DF47-9AE5-4DEF-8F02-23642D97AB8C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620" name="BC$Y$20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DD00D85-7061-4D6A-B164-B3E147648628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618" name="BC$Y$20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461B9A0-F4A7-459E-9D1A-B095EF7337E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616" name="BC$Y$20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60F70A-FE76-4185-80CB-56C7ADB6FF8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614" name="BC$Y$20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B50DF46-E87C-4A31-9B0F-6C7B4AA283BE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612" name="BC$Y$20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7F62D13-E05C-4164-8DA9-D8AA5AA87CC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610" name="BC$Y$20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7900CD6-BF3F-495E-96E0-38EECD553CF1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608" name="BC$Y$20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825E890-6413-4B40-A92B-0D186BD4D20F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606" name="BC$Y$20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825A6DC-0E3C-4BC3-AFD2-4438543A9D2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604" name="BC$Y$20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7C44D6F-0DE9-4995-A90B-91F8039C82B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602" name="BC$Y$20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7C044ED-F2B7-4A8C-991F-C61E80C67FB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600" name="BC$Y$20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E4273C8-2BA4-4E36-975C-5EC7710E419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598" name="BC$Y$20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B84CAED-F95F-4B9E-8CDF-DF714A000F4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596" name="BC$Y$20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37C9036-792F-4E73-8FDF-E50B1E49AC2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594" name="BC$Y$20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EBD7669-D91E-4099-BB96-B460B0F6632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592" name="BC$Y$20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B82BBEF-84E0-4D32-A8A2-13DDC480598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590" name="BC$Y$20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6A15613-4572-4B15-A75B-3AE127D7B4B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588" name="BC$Y$20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1A6C9EA-0EC3-45F6-AB9F-474E96153D6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586" name="BC$Y$20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410A4A2-781A-4779-8A01-A27BEB0A336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584" name="BC$Y$20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324CC42-DEE0-4870-B02E-969223A6D95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582" name="BC$Y$20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53A352C-C8CA-4071-9699-C87C665CD29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580" name="BC$Y$20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88D2D25-CE4B-4BE2-A636-95E9B2B7ED7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578" name="BC$Y$20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5537142-4846-4C4F-A8C4-AB4FE3134F8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576" name="BC$Y$200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198E2F8-4760-4E65-BDA1-C657CACDE48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574" name="BC$Y$200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7ED43CA-B844-4042-B09B-0BA23CDD1AA4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572" name="BC$Y$200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F7FC3C0E-81CC-42E8-8CFF-33E81C0FDFC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573" name="BC$Y$200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5086285-341A-4B64-BF08-A6BF3792DB5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575" name="BC$Y$200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7440653-5284-4218-B606-68B80EB81588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577" name="BC$Y$200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3F205AA-BC17-4BAD-944D-E5215DBC36E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579" name="BC$Y$200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EFF4164-5DDD-47B3-8DD0-A36A03FBE30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581" name="BC$Y$200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09AB0E4-3ED2-478F-945B-DE24648D4F9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583" name="BC$Y$200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A22A51A-62A2-4834-B73D-CA130D5BF0A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585" name="BC$Y$200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2E64420-D920-4EAA-A0F0-094838A767A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587" name="BC$Y$200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924F4C4-9405-4059-91F5-36D392ADF36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589" name="BC$Y$200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B306F15-7216-4C7E-AAE5-951EFB287B1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591" name="BC$Y$200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7D6A942-0AD4-4EC0-B258-A98DCE0D022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593" name="BC$Y$200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D6F9722-862F-43D5-BD62-D7EA64513DF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595" name="BC$Y$200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A1E13FC-945E-4EF2-B751-BB4A8733294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597" name="BC$Y$200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82BA50C-91CA-4D4E-A0EB-9B07C96A949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599" name="BC$Y$200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E799820-F11E-4F44-B413-3F077C25D93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601" name="BC$Y$200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8709323-372E-4616-B210-62C50535239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603" name="BC$Y$200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F16E8DA-413A-4684-A65E-1759A440DAC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605" name="BC$Y$200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CF962A3-61BE-4419-A14C-FC6CA4F0962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607" name="BC$Y$200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8165650-25E0-493D-8A20-E28FF0033F4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609" name="BC$Y$200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CEA230B-E008-44E6-83B5-850DFDE24906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611" name="BC$Y$200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5E2F284-4DAB-42DA-8D49-67F01970067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613" name="BC$Y$200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391771C-5469-4327-95C4-6F225D4A7C87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615" name="BC$Y$200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6B2B482-9EA9-430B-9737-C478301E15DC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617" name="BC$Y$200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EA7B2C3-2C52-4EBC-A7B6-9A25C8327D44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619" name="BC$Y$200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A3019A9-7A6A-4838-ADC2-20AA8AF7798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621" name="BC$Y$200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18C0B92-21AE-41D0-AD61-0E1EE7C6AA6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623" name="BC$Y$200#BR26">
                                      <a:extLst>
                                        <a:ext uri="{FF2B5EF4-FFF2-40B4-BE49-F238E27FC236}">
                                          <a16:creationId xmlns:a16="http://schemas.microsoft.com/office/drawing/2014/main" id="{A37250DB-0AD8-4DF7-B511-6D6967A2DBD6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625" name="BC$Y$200#BR27">
                                    <a:extLst>
                                      <a:ext uri="{FF2B5EF4-FFF2-40B4-BE49-F238E27FC236}">
                                        <a16:creationId xmlns:a16="http://schemas.microsoft.com/office/drawing/2014/main" id="{7619E24B-029B-469D-BD78-38271768011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627" name="BC$Y$200#BR28">
                                  <a:extLst>
                                    <a:ext uri="{FF2B5EF4-FFF2-40B4-BE49-F238E27FC236}">
                                      <a16:creationId xmlns:a16="http://schemas.microsoft.com/office/drawing/2014/main" id="{82F546FC-E971-4703-9CC6-C0523B1B953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629" name="BC$Y$200#BR29">
                                <a:extLst>
                                  <a:ext uri="{FF2B5EF4-FFF2-40B4-BE49-F238E27FC236}">
                                    <a16:creationId xmlns:a16="http://schemas.microsoft.com/office/drawing/2014/main" id="{C9446B66-7FA0-45F1-8140-78F622C5E26D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631" name="BC$Y$200#BR30">
                              <a:extLst>
                                <a:ext uri="{FF2B5EF4-FFF2-40B4-BE49-F238E27FC236}">
                                  <a16:creationId xmlns:a16="http://schemas.microsoft.com/office/drawing/2014/main" id="{D9396FE3-7BA5-4E6B-94F4-201E97F2378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633" name="BC$Y$200#BR31">
                            <a:extLst>
                              <a:ext uri="{FF2B5EF4-FFF2-40B4-BE49-F238E27FC236}">
                                <a16:creationId xmlns:a16="http://schemas.microsoft.com/office/drawing/2014/main" id="{CD73BBBB-A334-40D6-AAD5-F866A99EC2E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635" name="BC$Y$200#BR32">
                          <a:extLst>
                            <a:ext uri="{FF2B5EF4-FFF2-40B4-BE49-F238E27FC236}">
                              <a16:creationId xmlns:a16="http://schemas.microsoft.com/office/drawing/2014/main" id="{C154B5D6-7343-4284-A14A-918FFA6D480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637" name="BC$Y$200#BR33">
                        <a:extLst>
                          <a:ext uri="{FF2B5EF4-FFF2-40B4-BE49-F238E27FC236}">
                            <a16:creationId xmlns:a16="http://schemas.microsoft.com/office/drawing/2014/main" id="{B5AE0F4D-FA2A-41B4-AEAE-02972537204F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639" name="BC$Y$200#BR34">
                      <a:extLst>
                        <a:ext uri="{FF2B5EF4-FFF2-40B4-BE49-F238E27FC236}">
                          <a16:creationId xmlns:a16="http://schemas.microsoft.com/office/drawing/2014/main" id="{5ADD15F9-229E-4D97-A99A-D7E14D23A6B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641" name="BC$Y$200#BR35">
                    <a:extLst>
                      <a:ext uri="{FF2B5EF4-FFF2-40B4-BE49-F238E27FC236}">
                        <a16:creationId xmlns:a16="http://schemas.microsoft.com/office/drawing/2014/main" id="{3C263A08-55E5-470F-BD1A-5325C204AAE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643" name="BC$Y$200#BR36">
                  <a:extLst>
                    <a:ext uri="{FF2B5EF4-FFF2-40B4-BE49-F238E27FC236}">
                      <a16:creationId xmlns:a16="http://schemas.microsoft.com/office/drawing/2014/main" id="{C5E165D8-FC1B-4FD1-B113-01F04AADC36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645" name="BC$Y$200#BR37">
                <a:extLst>
                  <a:ext uri="{FF2B5EF4-FFF2-40B4-BE49-F238E27FC236}">
                    <a16:creationId xmlns:a16="http://schemas.microsoft.com/office/drawing/2014/main" id="{63C1D83A-943A-46F6-AE7F-9C3B30C2A4E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647" name="BC$Y$200#BR38">
              <a:extLst>
                <a:ext uri="{FF2B5EF4-FFF2-40B4-BE49-F238E27FC236}">
                  <a16:creationId xmlns:a16="http://schemas.microsoft.com/office/drawing/2014/main" id="{1175A7E6-900B-4D1C-9C7F-695E775D4F3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649" name="BC$Y$200#BR39">
            <a:extLst>
              <a:ext uri="{FF2B5EF4-FFF2-40B4-BE49-F238E27FC236}">
                <a16:creationId xmlns:a16="http://schemas.microsoft.com/office/drawing/2014/main" id="{4185EA0B-FAEF-4A9A-9D5D-92119DD14FE0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28575</xdr:colOff>
      <xdr:row>206</xdr:row>
      <xdr:rowOff>19050</xdr:rowOff>
    </xdr:from>
    <xdr:to>
      <xdr:col>13</xdr:col>
      <xdr:colOff>190500</xdr:colOff>
      <xdr:row>208</xdr:row>
      <xdr:rowOff>19050</xdr:rowOff>
    </xdr:to>
    <xdr:grpSp>
      <xdr:nvGrpSpPr>
        <xdr:cNvPr id="6729" name="BC$K$200#GR">
          <a:extLst>
            <a:ext uri="{FF2B5EF4-FFF2-40B4-BE49-F238E27FC236}">
              <a16:creationId xmlns:a16="http://schemas.microsoft.com/office/drawing/2014/main" id="{6B09EFAC-389F-40CB-874E-C46C9E4DD901}"/>
            </a:ext>
          </a:extLst>
        </xdr:cNvPr>
        <xdr:cNvGrpSpPr/>
      </xdr:nvGrpSpPr>
      <xdr:grpSpPr>
        <a:xfrm>
          <a:off x="2657475" y="39166800"/>
          <a:ext cx="381000" cy="381000"/>
          <a:chOff x="0" y="0"/>
          <a:chExt cx="381000" cy="381000"/>
        </a:xfrm>
      </xdr:grpSpPr>
      <xdr:grpSp>
        <xdr:nvGrpSpPr>
          <xdr:cNvPr id="6727" name="BC$K$200#GR">
            <a:extLst>
              <a:ext uri="{FF2B5EF4-FFF2-40B4-BE49-F238E27FC236}">
                <a16:creationId xmlns:a16="http://schemas.microsoft.com/office/drawing/2014/main" id="{97D33D66-82ED-40D6-A35C-D0B54C88BC6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725" name="BC$K$200#GR">
              <a:extLst>
                <a:ext uri="{FF2B5EF4-FFF2-40B4-BE49-F238E27FC236}">
                  <a16:creationId xmlns:a16="http://schemas.microsoft.com/office/drawing/2014/main" id="{147CE8DD-8CDB-402A-9D74-C96F51806DB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723" name="BC$K$200#GR">
                <a:extLst>
                  <a:ext uri="{FF2B5EF4-FFF2-40B4-BE49-F238E27FC236}">
                    <a16:creationId xmlns:a16="http://schemas.microsoft.com/office/drawing/2014/main" id="{C64125E4-B92C-4104-A2F5-02F7D393BF9D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721" name="BC$K$200#GR">
                  <a:extLst>
                    <a:ext uri="{FF2B5EF4-FFF2-40B4-BE49-F238E27FC236}">
                      <a16:creationId xmlns:a16="http://schemas.microsoft.com/office/drawing/2014/main" id="{70BB043B-8D3A-4948-94AD-09784677D604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719" name="BC$K$200#GR">
                    <a:extLst>
                      <a:ext uri="{FF2B5EF4-FFF2-40B4-BE49-F238E27FC236}">
                        <a16:creationId xmlns:a16="http://schemas.microsoft.com/office/drawing/2014/main" id="{1CCCEAB4-1A0F-49B7-B09A-64E45C73C6D3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717" name="BC$K$200#GR">
                      <a:extLst>
                        <a:ext uri="{FF2B5EF4-FFF2-40B4-BE49-F238E27FC236}">
                          <a16:creationId xmlns:a16="http://schemas.microsoft.com/office/drawing/2014/main" id="{BD191CB9-6A11-4755-9D81-615FC4A909AC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715" name="BC$K$200#GR">
                        <a:extLst>
                          <a:ext uri="{FF2B5EF4-FFF2-40B4-BE49-F238E27FC236}">
                            <a16:creationId xmlns:a16="http://schemas.microsoft.com/office/drawing/2014/main" id="{2C04CF95-963E-4436-8713-91D73B35ACB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713" name="BC$K$200#GR">
                          <a:extLst>
                            <a:ext uri="{FF2B5EF4-FFF2-40B4-BE49-F238E27FC236}">
                              <a16:creationId xmlns:a16="http://schemas.microsoft.com/office/drawing/2014/main" id="{D7BA58AB-0C3B-4CCE-8137-8A060CD4114C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711" name="BC$K$200#GR">
                            <a:extLst>
                              <a:ext uri="{FF2B5EF4-FFF2-40B4-BE49-F238E27FC236}">
                                <a16:creationId xmlns:a16="http://schemas.microsoft.com/office/drawing/2014/main" id="{8C21050C-63B5-4B62-95D8-05347B3D397E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709" name="BC$K$200#GR">
                              <a:extLst>
                                <a:ext uri="{FF2B5EF4-FFF2-40B4-BE49-F238E27FC236}">
                                  <a16:creationId xmlns:a16="http://schemas.microsoft.com/office/drawing/2014/main" id="{7734AF33-7062-48E0-AF34-46946AE2A893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707" name="BC$K$200#GR">
                                <a:extLst>
                                  <a:ext uri="{FF2B5EF4-FFF2-40B4-BE49-F238E27FC236}">
                                    <a16:creationId xmlns:a16="http://schemas.microsoft.com/office/drawing/2014/main" id="{746C83B9-0408-497C-AAD8-3BA25F3AACE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705" name="BC$K$200#GR">
                                  <a:extLst>
                                    <a:ext uri="{FF2B5EF4-FFF2-40B4-BE49-F238E27FC236}">
                                      <a16:creationId xmlns:a16="http://schemas.microsoft.com/office/drawing/2014/main" id="{D847F2CC-C3A4-46D5-8936-FA1BD869540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703" name="BC$K$200#GR">
                                    <a:extLst>
                                      <a:ext uri="{FF2B5EF4-FFF2-40B4-BE49-F238E27FC236}">
                                        <a16:creationId xmlns:a16="http://schemas.microsoft.com/office/drawing/2014/main" id="{D02491FA-876A-4BED-BACF-F802182A951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701" name="BC$K$200#GR">
                                      <a:extLst>
                                        <a:ext uri="{FF2B5EF4-FFF2-40B4-BE49-F238E27FC236}">
                                          <a16:creationId xmlns:a16="http://schemas.microsoft.com/office/drawing/2014/main" id="{AC0C6926-1444-4341-9F1F-5FEE8940C37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699" name="BC$K$20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2EFA39F-96A6-4F37-AD31-D47B1484DC6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697" name="BC$K$20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419BD5A-D802-4F02-B206-E6509870DDD7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695" name="BC$K$20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422E639-F764-40DE-BD3C-68EA391BAE7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693" name="BC$K$20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9D51253-C0B9-4176-8AF0-895C2E1AE54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691" name="BC$K$20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A19A84F-6B58-40C8-9DCA-21CCA866975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689" name="BC$K$20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C9BB0B4-E3A1-4442-BA50-A8CB5A9A151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687" name="BC$K$20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3EFC5F6-DDF9-4712-81F2-A5ECC070D8E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685" name="BC$K$20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58C654F-4F15-433B-BD03-98650533FBF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683" name="BC$K$20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9756265-F775-449D-8774-4594BCC0C869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681" name="BC$K$20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376A486-07F5-418A-B3B9-73A5604CA44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679" name="BC$K$20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4A05EF1-B86C-4199-BA8D-099FF61CF3F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677" name="BC$K$20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48D438C-D9B5-4020-BCFE-6ADDC358F3D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675" name="BC$K$20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66D2C6F-BA6D-4BF1-A5EB-1E4FF07D1BF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673" name="BC$K$20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694A9AC-7A87-480B-A29F-F0656265D09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671" name="BC$K$20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27BCC58-DF34-46B0-808C-F7597314FFD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669" name="BC$K$20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35CE900-0736-4D3D-936A-3641ED42F1E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667" name="BC$K$20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F53DA05-0416-40D0-B4A2-C1CA02CB87C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665" name="BC$K$20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F541F53-66B3-4AB8-A339-0CCED30686D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663" name="BC$K$20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B8F571D-D17A-46BE-84F4-A92090C6106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661" name="BC$K$20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AAA0B98-5717-45C9-B775-E35F32BB5CA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659" name="BC$K$20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4C4915E-9093-42FB-B663-6B84AC17A2F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657" name="BC$K$20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765CD20-5A67-478B-BB23-FB164BB30FD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655" name="BC$K$200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68EFE8D-2551-405A-95CF-8D6A0EA2201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653" name="BC$K$200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E42B084-B873-452A-924B-5FA0953696A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651" name="BC$K$200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3805BF8-5A59-42A5-B4F5-4D1E8F34EF93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652" name="BC$K$200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573E6F0-55A3-4F2C-BDA1-A6D19BD8952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654" name="BC$K$200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EAF21554-1BF8-4AE8-BA4A-A0FCA003DDA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656" name="BC$K$200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547DA29-89A3-4270-9F06-82518938C63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658" name="BC$K$200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AF1B08A-54E2-40CA-8AA1-92B834ABDF6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660" name="BC$K$200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379FFC6-BAD9-4C44-901D-7398F6AE0C7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662" name="BC$K$200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2205A79-A3E5-4187-9590-FB0BF095033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664" name="BC$K$200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E86C982-33A7-4B07-BA37-0427603A1A4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666" name="BC$K$200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1A10A1B-6CD8-4A48-97FA-D23D97335AD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668" name="BC$K$200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6E123A2-662D-4DC0-BEE1-2E7E36CC48B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670" name="BC$K$200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46BDC65-3FE9-4733-9DD7-A2BC8F5F0EB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672" name="BC$K$200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2074ED0-F72D-4C9D-9C32-D32614A149C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674" name="BC$K$200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FA2707B-3DE8-4780-8327-068DE3D6C4B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676" name="BC$K$200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7669253-E1CA-4048-99E4-2ECE5C2DF23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678" name="BC$K$200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32725EF-77B2-4D73-8CCE-D44182F4516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680" name="BC$K$200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298D32D-32E9-4D8C-9B0E-7A77B3EC8FF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682" name="BC$K$200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5D747F9-D66F-41C2-A941-370A6C069756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684" name="BC$K$200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6ED9693-08B6-4CB3-AEAC-8ED748803ED5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686" name="BC$K$200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D28BB49-3992-4105-B91B-DF1C885889B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688" name="BC$K$200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7B13DBD-0A85-4453-9276-F8305416BA79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690" name="BC$K$200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FBCA2E3-7151-4BEF-A896-F0C259D8495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692" name="BC$K$200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A12D5CE-DBAC-4BD6-8574-2C8146532981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694" name="BC$K$200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B612B7F-D9A2-4748-99EE-63995F8172A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696" name="BC$K$200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71FF04E-7697-4C62-96E1-E0E7951B2D7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698" name="BC$K$200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6E7A3DA-81F3-43F4-AE14-A4D14AB6DD7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700" name="BC$K$200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F4A5993-FBDC-4A90-85C6-57CDB8CF4E6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702" name="BC$K$200#BR26">
                                      <a:extLst>
                                        <a:ext uri="{FF2B5EF4-FFF2-40B4-BE49-F238E27FC236}">
                                          <a16:creationId xmlns:a16="http://schemas.microsoft.com/office/drawing/2014/main" id="{7ECA0124-799A-48F8-B8CB-46522837086A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704" name="BC$K$200#BR27">
                                    <a:extLst>
                                      <a:ext uri="{FF2B5EF4-FFF2-40B4-BE49-F238E27FC236}">
                                        <a16:creationId xmlns:a16="http://schemas.microsoft.com/office/drawing/2014/main" id="{6043B1D0-097D-4633-B901-B3AA56A684B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706" name="BC$K$200#BR28">
                                  <a:extLst>
                                    <a:ext uri="{FF2B5EF4-FFF2-40B4-BE49-F238E27FC236}">
                                      <a16:creationId xmlns:a16="http://schemas.microsoft.com/office/drawing/2014/main" id="{0E245270-FB91-419C-84CC-A1806F07675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708" name="BC$K$200#BR29">
                                <a:extLst>
                                  <a:ext uri="{FF2B5EF4-FFF2-40B4-BE49-F238E27FC236}">
                                    <a16:creationId xmlns:a16="http://schemas.microsoft.com/office/drawing/2014/main" id="{CACBCC91-BB4C-4A1C-A65C-FF96CD67AAA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710" name="BC$K$200#BR30">
                              <a:extLst>
                                <a:ext uri="{FF2B5EF4-FFF2-40B4-BE49-F238E27FC236}">
                                  <a16:creationId xmlns:a16="http://schemas.microsoft.com/office/drawing/2014/main" id="{552D8B3B-D609-4DB8-9EB4-EEC65C093E3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712" name="BC$K$200#BR31">
                            <a:extLst>
                              <a:ext uri="{FF2B5EF4-FFF2-40B4-BE49-F238E27FC236}">
                                <a16:creationId xmlns:a16="http://schemas.microsoft.com/office/drawing/2014/main" id="{E1753928-65DC-4079-8590-4F95FCFE23D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714" name="BC$K$200#BR32">
                          <a:extLst>
                            <a:ext uri="{FF2B5EF4-FFF2-40B4-BE49-F238E27FC236}">
                              <a16:creationId xmlns:a16="http://schemas.microsoft.com/office/drawing/2014/main" id="{F996D13A-EE78-4125-8003-545A52F2D66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716" name="BC$K$200#BR33">
                        <a:extLst>
                          <a:ext uri="{FF2B5EF4-FFF2-40B4-BE49-F238E27FC236}">
                            <a16:creationId xmlns:a16="http://schemas.microsoft.com/office/drawing/2014/main" id="{4D744740-8153-4CAE-AE1E-DFE03D8CF29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718" name="BC$K$200#BR34">
                      <a:extLst>
                        <a:ext uri="{FF2B5EF4-FFF2-40B4-BE49-F238E27FC236}">
                          <a16:creationId xmlns:a16="http://schemas.microsoft.com/office/drawing/2014/main" id="{6A326D51-2774-4ED4-8C66-932216EA8E2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720" name="BC$K$200#BR35">
                    <a:extLst>
                      <a:ext uri="{FF2B5EF4-FFF2-40B4-BE49-F238E27FC236}">
                        <a16:creationId xmlns:a16="http://schemas.microsoft.com/office/drawing/2014/main" id="{9DA58204-8844-4FEC-B627-6D32ADA96A3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722" name="BC$K$200#BR36">
                  <a:extLst>
                    <a:ext uri="{FF2B5EF4-FFF2-40B4-BE49-F238E27FC236}">
                      <a16:creationId xmlns:a16="http://schemas.microsoft.com/office/drawing/2014/main" id="{92337CAF-F4BC-404A-AEAF-B1C4A298822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724" name="BC$K$200#BR37">
                <a:extLst>
                  <a:ext uri="{FF2B5EF4-FFF2-40B4-BE49-F238E27FC236}">
                    <a16:creationId xmlns:a16="http://schemas.microsoft.com/office/drawing/2014/main" id="{E92A706D-F48B-439A-81FB-2DB8304802F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726" name="BC$K$200#BR38">
              <a:extLst>
                <a:ext uri="{FF2B5EF4-FFF2-40B4-BE49-F238E27FC236}">
                  <a16:creationId xmlns:a16="http://schemas.microsoft.com/office/drawing/2014/main" id="{A3D18BCF-E12E-46C3-8900-4A868FA0978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728" name="BC$K$200#BR39">
            <a:extLst>
              <a:ext uri="{FF2B5EF4-FFF2-40B4-BE49-F238E27FC236}">
                <a16:creationId xmlns:a16="http://schemas.microsoft.com/office/drawing/2014/main" id="{70677399-7FA7-4614-BA32-D466C790502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217</xdr:row>
      <xdr:rowOff>9525</xdr:rowOff>
    </xdr:from>
    <xdr:to>
      <xdr:col>13</xdr:col>
      <xdr:colOff>200025</xdr:colOff>
      <xdr:row>219</xdr:row>
      <xdr:rowOff>9525</xdr:rowOff>
    </xdr:to>
    <xdr:grpSp>
      <xdr:nvGrpSpPr>
        <xdr:cNvPr id="6808" name="BC$K$211#GR">
          <a:extLst>
            <a:ext uri="{FF2B5EF4-FFF2-40B4-BE49-F238E27FC236}">
              <a16:creationId xmlns:a16="http://schemas.microsoft.com/office/drawing/2014/main" id="{E9129222-5358-4034-A8F7-9ACCA6B36EC5}"/>
            </a:ext>
          </a:extLst>
        </xdr:cNvPr>
        <xdr:cNvGrpSpPr/>
      </xdr:nvGrpSpPr>
      <xdr:grpSpPr>
        <a:xfrm>
          <a:off x="2667000" y="41252775"/>
          <a:ext cx="381000" cy="381000"/>
          <a:chOff x="0" y="0"/>
          <a:chExt cx="381000" cy="381000"/>
        </a:xfrm>
      </xdr:grpSpPr>
      <xdr:grpSp>
        <xdr:nvGrpSpPr>
          <xdr:cNvPr id="6806" name="BC$K$211#GR">
            <a:extLst>
              <a:ext uri="{FF2B5EF4-FFF2-40B4-BE49-F238E27FC236}">
                <a16:creationId xmlns:a16="http://schemas.microsoft.com/office/drawing/2014/main" id="{DE67D90A-818C-48A8-A306-F8C8304FE14F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804" name="BC$K$211#GR">
              <a:extLst>
                <a:ext uri="{FF2B5EF4-FFF2-40B4-BE49-F238E27FC236}">
                  <a16:creationId xmlns:a16="http://schemas.microsoft.com/office/drawing/2014/main" id="{8C85354F-D418-44F9-8D5F-875BD6DFD08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802" name="BC$K$211#GR">
                <a:extLst>
                  <a:ext uri="{FF2B5EF4-FFF2-40B4-BE49-F238E27FC236}">
                    <a16:creationId xmlns:a16="http://schemas.microsoft.com/office/drawing/2014/main" id="{FB67A651-5176-4413-9712-A30B7419F7C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800" name="BC$K$211#GR">
                  <a:extLst>
                    <a:ext uri="{FF2B5EF4-FFF2-40B4-BE49-F238E27FC236}">
                      <a16:creationId xmlns:a16="http://schemas.microsoft.com/office/drawing/2014/main" id="{D6B6A8A6-656E-44E5-816D-037B2D3A55F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798" name="BC$K$211#GR">
                    <a:extLst>
                      <a:ext uri="{FF2B5EF4-FFF2-40B4-BE49-F238E27FC236}">
                        <a16:creationId xmlns:a16="http://schemas.microsoft.com/office/drawing/2014/main" id="{72037A8B-29BA-47AE-874E-6D3541681F4B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796" name="BC$K$211#GR">
                      <a:extLst>
                        <a:ext uri="{FF2B5EF4-FFF2-40B4-BE49-F238E27FC236}">
                          <a16:creationId xmlns:a16="http://schemas.microsoft.com/office/drawing/2014/main" id="{8059F2B8-3E64-4B08-B295-786FEE565E0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794" name="BC$K$211#GR">
                        <a:extLst>
                          <a:ext uri="{FF2B5EF4-FFF2-40B4-BE49-F238E27FC236}">
                            <a16:creationId xmlns:a16="http://schemas.microsoft.com/office/drawing/2014/main" id="{F0689A6C-8D6D-46E0-A653-C37B1D8EDE9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792" name="BC$K$211#GR">
                          <a:extLst>
                            <a:ext uri="{FF2B5EF4-FFF2-40B4-BE49-F238E27FC236}">
                              <a16:creationId xmlns:a16="http://schemas.microsoft.com/office/drawing/2014/main" id="{A4E1432E-C380-4330-956E-02DF7C381D5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790" name="BC$K$211#GR">
                            <a:extLst>
                              <a:ext uri="{FF2B5EF4-FFF2-40B4-BE49-F238E27FC236}">
                                <a16:creationId xmlns:a16="http://schemas.microsoft.com/office/drawing/2014/main" id="{45A101F0-8EFA-4A21-9C04-60795C625F33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788" name="BC$K$211#GR">
                              <a:extLst>
                                <a:ext uri="{FF2B5EF4-FFF2-40B4-BE49-F238E27FC236}">
                                  <a16:creationId xmlns:a16="http://schemas.microsoft.com/office/drawing/2014/main" id="{AA858742-074C-4433-AF64-7FAD81FAEB73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786" name="BC$K$211#GR">
                                <a:extLst>
                                  <a:ext uri="{FF2B5EF4-FFF2-40B4-BE49-F238E27FC236}">
                                    <a16:creationId xmlns:a16="http://schemas.microsoft.com/office/drawing/2014/main" id="{A64C9A0E-A800-4DD8-B79F-D32771E7596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784" name="BC$K$211#GR">
                                  <a:extLst>
                                    <a:ext uri="{FF2B5EF4-FFF2-40B4-BE49-F238E27FC236}">
                                      <a16:creationId xmlns:a16="http://schemas.microsoft.com/office/drawing/2014/main" id="{E846217C-3CB3-4C12-BB3B-14E2CB464DE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782" name="BC$K$211#GR">
                                    <a:extLst>
                                      <a:ext uri="{FF2B5EF4-FFF2-40B4-BE49-F238E27FC236}">
                                        <a16:creationId xmlns:a16="http://schemas.microsoft.com/office/drawing/2014/main" id="{44EFF45E-6FA3-473F-A6B1-894A5924F566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780" name="BC$K$211#GR">
                                      <a:extLst>
                                        <a:ext uri="{FF2B5EF4-FFF2-40B4-BE49-F238E27FC236}">
                                          <a16:creationId xmlns:a16="http://schemas.microsoft.com/office/drawing/2014/main" id="{5FCA8B70-D939-462F-87A4-F8C4C4D0BF8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778" name="BC$K$21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1356031-2D83-46B4-91CE-439A41E3B01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776" name="BC$K$21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BBDEFBB-B9F7-4160-B918-6A9F797F263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774" name="BC$K$21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F9E42EE-E018-4338-9C82-695F1214F19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772" name="BC$K$21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E1A9A3B-3331-47F0-B2D5-AB12C0450705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770" name="BC$K$21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7E76A3C-02E2-4961-B692-F5A9A80BE76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768" name="BC$K$21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BA534E-191B-4914-BA66-4C3A6AEB0A7D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766" name="BC$K$21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C94B8DE-F013-4688-AC3F-F9E7778EE0B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764" name="BC$K$21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109B3A5-EEA7-4370-8A0C-084BEBB3ADFA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762" name="BC$K$21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C116D7A-6A1A-4D24-A05C-E7BD35C8636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760" name="BC$K$21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73CA066-DF33-4592-8AAF-099DC9ECF6D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758" name="BC$K$21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2E2063D-547C-45EC-8A0E-E57371EBB8D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756" name="BC$K$21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A5D5D18-3F45-4353-8D07-B3C540C7A4A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754" name="BC$K$21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C52DE21-1136-41DF-A962-5C9AAEAD654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752" name="BC$K$21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E65F4CD-650F-4C09-A86B-385E7D91617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750" name="BC$K$21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6D1A7FB-C72E-4755-B6DD-8CD9EF19953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748" name="BC$K$21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C674130-DC15-45CC-A66D-111F0F3323E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746" name="BC$K$21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BE3CF29-B853-4E76-B2D8-86199CC3433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744" name="BC$K$21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4547992-FB37-4E75-8A89-EF165679F3B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742" name="BC$K$21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4DC1540-D2B3-4126-B278-B2D4B3E28D8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740" name="BC$K$21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E857199-4165-4FE7-B725-7DDA11A3E55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738" name="BC$K$21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A47BF24-61E8-4ED4-BCD6-5274C5E5157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736" name="BC$K$21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F587ED5-5386-4216-B3D1-38E7F13872B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734" name="BC$K$211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696D5CF-1B99-4E66-9B4C-439D892EDD2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732" name="BC$K$211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3D458365-9DA6-439E-AD5A-EE09AE4C7A9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730" name="BC$K$211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B4C64933-E53D-4203-ACE9-2FE8C494F1F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731" name="BC$K$211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AA30F0C9-FC52-4334-A51E-95D88BC5580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733" name="BC$K$211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0D854DD-5DC6-49B3-BFFE-97DBC8BC002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735" name="BC$K$211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92A84E1-D4BF-4DEE-A1FF-EB1A43DD13C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737" name="BC$K$211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18A6FEA-38A6-4DC7-9B74-7F8B44B2AE8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739" name="BC$K$211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6BD45BE-2CAA-417E-9989-3D88ABBD64F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741" name="BC$K$211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DC2C263-8982-4891-B604-5CCAEA7413E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743" name="BC$K$211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08A76CC-960F-4E6E-A48C-4D081535DB2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745" name="BC$K$211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1CAA929-08A0-4EE9-B6E1-E8B005F3627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747" name="BC$K$211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FD4775D-DC40-4082-8703-2CE466D18F6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749" name="BC$K$211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CC5E2F5-5DAB-4CBF-8C49-DDA7EC6ECF9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751" name="BC$K$211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E61A384-AB28-4CF6-807F-28F32583FCE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753" name="BC$K$211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49F9E02-FDD8-497A-B9EE-DC876DC352F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755" name="BC$K$211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7776CA1-FBEC-4FB7-9A23-9974654A2B5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757" name="BC$K$211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63ACB1B-55BA-4751-8F97-2D5E54DEFA3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759" name="BC$K$211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8BD6BBE-EADC-4661-9AC0-141D54F01F9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761" name="BC$K$211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485BDBE-3201-4AAD-A535-E812437503C4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763" name="BC$K$211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014225C-E99C-48E9-9240-94183F126B96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765" name="BC$K$211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67B8C06-790F-4E8E-9B19-059B72EF9928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767" name="BC$K$211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93498C4-A723-4F9B-8266-E6944AAE7CB9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769" name="BC$K$211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E1FE682-C5DC-4721-9A3B-2391DE71682C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771" name="BC$K$211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161ACF3-F7A8-4BA6-B712-365D7EAB4C0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773" name="BC$K$211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D4C2D73-02DE-4198-A2F7-62CCE1EFC54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775" name="BC$K$211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71B39E0-33F6-4CD2-960E-45432B6F6FE5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777" name="BC$K$211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F956193-11F5-4597-A4A7-C1799F42E3E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779" name="BC$K$211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CB2008B-5689-4183-9E34-9C036B93119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781" name="BC$K$211#BR26">
                                      <a:extLst>
                                        <a:ext uri="{FF2B5EF4-FFF2-40B4-BE49-F238E27FC236}">
                                          <a16:creationId xmlns:a16="http://schemas.microsoft.com/office/drawing/2014/main" id="{36072278-F156-47B0-B7F5-C0972CF2D936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783" name="BC$K$211#BR27">
                                    <a:extLst>
                                      <a:ext uri="{FF2B5EF4-FFF2-40B4-BE49-F238E27FC236}">
                                        <a16:creationId xmlns:a16="http://schemas.microsoft.com/office/drawing/2014/main" id="{AD91B8C7-F343-4092-86FE-430DBA7EB4A5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785" name="BC$K$211#BR28">
                                  <a:extLst>
                                    <a:ext uri="{FF2B5EF4-FFF2-40B4-BE49-F238E27FC236}">
                                      <a16:creationId xmlns:a16="http://schemas.microsoft.com/office/drawing/2014/main" id="{5CAA3923-B349-469A-A485-9B0368A82A8D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787" name="BC$K$211#BR29">
                                <a:extLst>
                                  <a:ext uri="{FF2B5EF4-FFF2-40B4-BE49-F238E27FC236}">
                                    <a16:creationId xmlns:a16="http://schemas.microsoft.com/office/drawing/2014/main" id="{E921CECB-8A43-425E-83D8-B95D9C0C013A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789" name="BC$K$211#BR30">
                              <a:extLst>
                                <a:ext uri="{FF2B5EF4-FFF2-40B4-BE49-F238E27FC236}">
                                  <a16:creationId xmlns:a16="http://schemas.microsoft.com/office/drawing/2014/main" id="{E4226622-9143-4EB6-93E5-5429DD5B509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791" name="BC$K$211#BR31">
                            <a:extLst>
                              <a:ext uri="{FF2B5EF4-FFF2-40B4-BE49-F238E27FC236}">
                                <a16:creationId xmlns:a16="http://schemas.microsoft.com/office/drawing/2014/main" id="{405AF217-5CB5-4553-8DBE-EF468BB2ADB4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793" name="BC$K$211#BR32">
                          <a:extLst>
                            <a:ext uri="{FF2B5EF4-FFF2-40B4-BE49-F238E27FC236}">
                              <a16:creationId xmlns:a16="http://schemas.microsoft.com/office/drawing/2014/main" id="{B1A7A18F-94BF-40F5-85BF-CC0D49622A3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795" name="BC$K$211#BR33">
                        <a:extLst>
                          <a:ext uri="{FF2B5EF4-FFF2-40B4-BE49-F238E27FC236}">
                            <a16:creationId xmlns:a16="http://schemas.microsoft.com/office/drawing/2014/main" id="{F0901463-7766-4116-B2DB-2A81F680F573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797" name="BC$K$211#BR34">
                      <a:extLst>
                        <a:ext uri="{FF2B5EF4-FFF2-40B4-BE49-F238E27FC236}">
                          <a16:creationId xmlns:a16="http://schemas.microsoft.com/office/drawing/2014/main" id="{D8C7F05F-0EE8-4D64-8AEA-31F94FC2B8B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799" name="BC$K$211#BR35">
                    <a:extLst>
                      <a:ext uri="{FF2B5EF4-FFF2-40B4-BE49-F238E27FC236}">
                        <a16:creationId xmlns:a16="http://schemas.microsoft.com/office/drawing/2014/main" id="{18A9E47D-BB8E-4606-AB4D-7E33840141C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801" name="BC$K$211#BR36">
                  <a:extLst>
                    <a:ext uri="{FF2B5EF4-FFF2-40B4-BE49-F238E27FC236}">
                      <a16:creationId xmlns:a16="http://schemas.microsoft.com/office/drawing/2014/main" id="{4E2129A7-92B9-4EF8-80AE-7E75AAC86FB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803" name="BC$K$211#BR37">
                <a:extLst>
                  <a:ext uri="{FF2B5EF4-FFF2-40B4-BE49-F238E27FC236}">
                    <a16:creationId xmlns:a16="http://schemas.microsoft.com/office/drawing/2014/main" id="{3A12E4FD-1A73-4992-A82D-E298B77D89B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805" name="BC$K$211#BR38">
              <a:extLst>
                <a:ext uri="{FF2B5EF4-FFF2-40B4-BE49-F238E27FC236}">
                  <a16:creationId xmlns:a16="http://schemas.microsoft.com/office/drawing/2014/main" id="{F01F5CA4-3479-42AC-8CCD-39E66F5E542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807" name="BC$K$211#BR39">
            <a:extLst>
              <a:ext uri="{FF2B5EF4-FFF2-40B4-BE49-F238E27FC236}">
                <a16:creationId xmlns:a16="http://schemas.microsoft.com/office/drawing/2014/main" id="{BDEB8AE8-FA65-4F4B-9717-FC228091420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217</xdr:row>
      <xdr:rowOff>9525</xdr:rowOff>
    </xdr:from>
    <xdr:to>
      <xdr:col>27</xdr:col>
      <xdr:colOff>200025</xdr:colOff>
      <xdr:row>219</xdr:row>
      <xdr:rowOff>9525</xdr:rowOff>
    </xdr:to>
    <xdr:grpSp>
      <xdr:nvGrpSpPr>
        <xdr:cNvPr id="6887" name="BC$Y$211#GR">
          <a:extLst>
            <a:ext uri="{FF2B5EF4-FFF2-40B4-BE49-F238E27FC236}">
              <a16:creationId xmlns:a16="http://schemas.microsoft.com/office/drawing/2014/main" id="{D3C87C77-4D0C-4498-8058-7699AC1C408B}"/>
            </a:ext>
          </a:extLst>
        </xdr:cNvPr>
        <xdr:cNvGrpSpPr/>
      </xdr:nvGrpSpPr>
      <xdr:grpSpPr>
        <a:xfrm>
          <a:off x="5781675" y="41252775"/>
          <a:ext cx="381000" cy="381000"/>
          <a:chOff x="0" y="0"/>
          <a:chExt cx="381000" cy="381000"/>
        </a:xfrm>
      </xdr:grpSpPr>
      <xdr:grpSp>
        <xdr:nvGrpSpPr>
          <xdr:cNvPr id="6885" name="BC$Y$211#GR">
            <a:extLst>
              <a:ext uri="{FF2B5EF4-FFF2-40B4-BE49-F238E27FC236}">
                <a16:creationId xmlns:a16="http://schemas.microsoft.com/office/drawing/2014/main" id="{C4F35FEC-BF75-4F1C-890A-EA49C16D3A7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6883" name="BC$Y$211#GR">
              <a:extLst>
                <a:ext uri="{FF2B5EF4-FFF2-40B4-BE49-F238E27FC236}">
                  <a16:creationId xmlns:a16="http://schemas.microsoft.com/office/drawing/2014/main" id="{13F58503-413B-42D3-BA93-83368ADE380F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6881" name="BC$Y$211#GR">
                <a:extLst>
                  <a:ext uri="{FF2B5EF4-FFF2-40B4-BE49-F238E27FC236}">
                    <a16:creationId xmlns:a16="http://schemas.microsoft.com/office/drawing/2014/main" id="{8766698A-CC67-4161-9457-6583BF8E5D5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6879" name="BC$Y$211#GR">
                  <a:extLst>
                    <a:ext uri="{FF2B5EF4-FFF2-40B4-BE49-F238E27FC236}">
                      <a16:creationId xmlns:a16="http://schemas.microsoft.com/office/drawing/2014/main" id="{A6DE673E-6611-40AC-85F0-90A80337965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6877" name="BC$Y$211#GR">
                    <a:extLst>
                      <a:ext uri="{FF2B5EF4-FFF2-40B4-BE49-F238E27FC236}">
                        <a16:creationId xmlns:a16="http://schemas.microsoft.com/office/drawing/2014/main" id="{4C4ADE2D-775C-4F10-8027-D194653993F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6875" name="BC$Y$211#GR">
                      <a:extLst>
                        <a:ext uri="{FF2B5EF4-FFF2-40B4-BE49-F238E27FC236}">
                          <a16:creationId xmlns:a16="http://schemas.microsoft.com/office/drawing/2014/main" id="{3A47C6A0-31DB-4953-A0C4-603B3C25C6F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6873" name="BC$Y$211#GR">
                        <a:extLst>
                          <a:ext uri="{FF2B5EF4-FFF2-40B4-BE49-F238E27FC236}">
                            <a16:creationId xmlns:a16="http://schemas.microsoft.com/office/drawing/2014/main" id="{3925E7FA-FDB5-493C-B79C-EC3D739BB63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6871" name="BC$Y$211#GR">
                          <a:extLst>
                            <a:ext uri="{FF2B5EF4-FFF2-40B4-BE49-F238E27FC236}">
                              <a16:creationId xmlns:a16="http://schemas.microsoft.com/office/drawing/2014/main" id="{F7DD35CA-CA77-4B0D-8A7A-5427B956711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6869" name="BC$Y$211#GR">
                            <a:extLst>
                              <a:ext uri="{FF2B5EF4-FFF2-40B4-BE49-F238E27FC236}">
                                <a16:creationId xmlns:a16="http://schemas.microsoft.com/office/drawing/2014/main" id="{E851E06B-9F65-4DF7-9696-5328B81692C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6867" name="BC$Y$211#GR">
                              <a:extLst>
                                <a:ext uri="{FF2B5EF4-FFF2-40B4-BE49-F238E27FC236}">
                                  <a16:creationId xmlns:a16="http://schemas.microsoft.com/office/drawing/2014/main" id="{88975547-D9B4-4D97-811F-F3198F78CF0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6865" name="BC$Y$211#GR">
                                <a:extLst>
                                  <a:ext uri="{FF2B5EF4-FFF2-40B4-BE49-F238E27FC236}">
                                    <a16:creationId xmlns:a16="http://schemas.microsoft.com/office/drawing/2014/main" id="{28F68E6C-C908-437F-AE84-C661F44DF46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6863" name="BC$Y$211#GR">
                                  <a:extLst>
                                    <a:ext uri="{FF2B5EF4-FFF2-40B4-BE49-F238E27FC236}">
                                      <a16:creationId xmlns:a16="http://schemas.microsoft.com/office/drawing/2014/main" id="{5E93A2A2-480D-4BC2-9F7C-6A74AABFF99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6861" name="BC$Y$211#GR">
                                    <a:extLst>
                                      <a:ext uri="{FF2B5EF4-FFF2-40B4-BE49-F238E27FC236}">
                                        <a16:creationId xmlns:a16="http://schemas.microsoft.com/office/drawing/2014/main" id="{6A598088-8CFF-433C-B67D-6E4F3C4D303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6859" name="BC$Y$211#GR">
                                      <a:extLst>
                                        <a:ext uri="{FF2B5EF4-FFF2-40B4-BE49-F238E27FC236}">
                                          <a16:creationId xmlns:a16="http://schemas.microsoft.com/office/drawing/2014/main" id="{A765A324-1B17-4C07-923D-BF1AAB0FC3DE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6857" name="BC$Y$21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EBA1FB8-6311-4685-8394-D447C592929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6855" name="BC$Y$21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161C75E-D3E1-41DD-AC89-ADB9880214D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6853" name="BC$Y$21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CEC6B33-AA7C-4F20-89DF-37157C89ED65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6851" name="BC$Y$21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8C7C57E-C0C6-47AB-94B3-F464891C9FE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6849" name="BC$Y$21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5E34518-7201-482D-A558-F0EE8415BB7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6847" name="BC$Y$21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253B012-7AB7-48EA-9E4E-22A7DDEDAD68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6845" name="BC$Y$21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EADA53A-1612-4D03-8E09-BE5BB179071F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6843" name="BC$Y$21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22BAB6B-37EC-4B1A-A1D5-9DB787B5E18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6841" name="BC$Y$21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7A83AB9-0FBF-4D16-92AD-90D5FE6F8C7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6839" name="BC$Y$21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3870EEE-396A-4A1A-913F-0A9C5AD65CE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6837" name="BC$Y$21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2699AE2-C713-45F4-B7AF-58173E35E9E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6835" name="BC$Y$21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C36A6CE-0BE6-4367-A2AB-C4509A143F6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833" name="BC$Y$21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ADE16DA-7631-413D-8741-5CA6BD4DDD6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831" name="BC$Y$21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1547708-77C6-4AD2-BBF5-1D9DBB1C7A9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829" name="BC$Y$21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EDAAEEE-44C9-45F3-8746-C66BEFE011A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827" name="BC$Y$21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F1E66F5-8BAD-42B6-AE8A-B7D3FEB0FDA3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825" name="BC$Y$21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2631B3C-F041-4309-932D-DCE9F959339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823" name="BC$Y$21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0854B34-5223-4E14-BF9F-D4FECAE0341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6821" name="BC$Y$21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CC95A47-1EAF-44C1-B48F-26F2AD122E5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6819" name="BC$Y$21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CF3CCD7-5573-4754-AFAA-670EE964405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6817" name="BC$Y$21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42997F8-CDE7-4E90-AB7C-DB4DAB82082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6815" name="BC$Y$21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312206D-4916-44C3-82ED-3FAC46219A3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813" name="BC$Y$211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BAF616F-4328-42B6-A64A-F85C65C2927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6811" name="BC$Y$211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4FCDE23-AF8E-4F96-9BFE-9C2CC4AEB247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809" name="BC$Y$211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E4DA0C2-8E8C-4264-9242-D1578269430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6810" name="BC$Y$211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55657A1E-D7AA-4DD5-937C-235065193B46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6812" name="BC$Y$211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44489F44-F5AC-4B1F-ADC6-84A2F67A3B3C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6814" name="BC$Y$211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5B5C17E-A2A9-4B60-A0E5-46234E3C3A9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6816" name="BC$Y$211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B62BD8D-931E-418F-8D53-DD33755FB0E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6818" name="BC$Y$211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9CB7408-C527-4B26-AD89-9FC316C7876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6820" name="BC$Y$211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A9D155F-C307-4829-B4E0-E0FC8B81226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822" name="BC$Y$211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D1AB7E0-D692-43BF-8257-D59C8C4FECF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824" name="BC$Y$211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92CBD32-7F6E-4324-92C0-DA69D626ADB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826" name="BC$Y$211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C128245-19B4-4D53-88F4-3263642D33C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828" name="BC$Y$211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39244DA-99CB-478E-8527-EDB3832F853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830" name="BC$Y$211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79E7E45-AC2B-4E05-9047-D9C5FD8CF7D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832" name="BC$Y$211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B298747-59D8-418C-B0D7-174EB1DFDF9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6834" name="BC$Y$211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759FA47-85EA-4BEC-BF42-0D128209767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6836" name="BC$Y$211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B7144B8-F78B-41EE-AD44-25C52A71051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6838" name="BC$Y$211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FE8118D-DDD5-47FD-B0FF-DD1E0E9F16F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6840" name="BC$Y$211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404B8BE-BFBB-4435-8D37-9453D2896AF4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6842" name="BC$Y$211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48F9ED7-13FB-49F6-B89A-29B13CBCED56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6844" name="BC$Y$211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D94BB31-A8A9-45BC-970A-E4F6B85B62B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6846" name="BC$Y$211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2106CA4-A510-4C0A-9A71-37938E136823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6848" name="BC$Y$211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69116F9-C47E-4B79-8DAD-C40AA625150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6850" name="BC$Y$211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C34A35B-9CBB-46DF-8202-4531FD6AB531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6852" name="BC$Y$211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98E2965-C0C2-483B-882A-F167083DCADC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6854" name="BC$Y$211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FA832C7-667E-4BA0-88D7-C3A89574AA59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6856" name="BC$Y$211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75D3AC4-9719-4B54-B506-90476AAC68F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6858" name="BC$Y$211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3DFE899-A1BE-4EC6-9CA7-59F2FC3B51E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6860" name="BC$Y$211#BR26">
                                      <a:extLst>
                                        <a:ext uri="{FF2B5EF4-FFF2-40B4-BE49-F238E27FC236}">
                                          <a16:creationId xmlns:a16="http://schemas.microsoft.com/office/drawing/2014/main" id="{627B31FB-9AC5-4DEB-B6F9-211905D6DA7B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6862" name="BC$Y$211#BR27">
                                    <a:extLst>
                                      <a:ext uri="{FF2B5EF4-FFF2-40B4-BE49-F238E27FC236}">
                                        <a16:creationId xmlns:a16="http://schemas.microsoft.com/office/drawing/2014/main" id="{72565604-F757-4612-9EFC-F2CB8F27D615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6864" name="BC$Y$211#BR28">
                                  <a:extLst>
                                    <a:ext uri="{FF2B5EF4-FFF2-40B4-BE49-F238E27FC236}">
                                      <a16:creationId xmlns:a16="http://schemas.microsoft.com/office/drawing/2014/main" id="{94956ACB-7FC8-474C-9645-83AF0D1C79E6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6866" name="BC$Y$211#BR29">
                                <a:extLst>
                                  <a:ext uri="{FF2B5EF4-FFF2-40B4-BE49-F238E27FC236}">
                                    <a16:creationId xmlns:a16="http://schemas.microsoft.com/office/drawing/2014/main" id="{0213F322-1BEE-4B05-BE25-536E366D1B5E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6868" name="BC$Y$211#BR30">
                              <a:extLst>
                                <a:ext uri="{FF2B5EF4-FFF2-40B4-BE49-F238E27FC236}">
                                  <a16:creationId xmlns:a16="http://schemas.microsoft.com/office/drawing/2014/main" id="{411B4A98-3CA6-4507-8243-6716D83F227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6870" name="BC$Y$211#BR31">
                            <a:extLst>
                              <a:ext uri="{FF2B5EF4-FFF2-40B4-BE49-F238E27FC236}">
                                <a16:creationId xmlns:a16="http://schemas.microsoft.com/office/drawing/2014/main" id="{F548E865-8B4D-48F5-8312-CB6D14694BBE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6872" name="BC$Y$211#BR32">
                          <a:extLst>
                            <a:ext uri="{FF2B5EF4-FFF2-40B4-BE49-F238E27FC236}">
                              <a16:creationId xmlns:a16="http://schemas.microsoft.com/office/drawing/2014/main" id="{2B62D0BD-9BF9-4FFC-A97A-49B032BD0BF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6874" name="BC$Y$211#BR33">
                        <a:extLst>
                          <a:ext uri="{FF2B5EF4-FFF2-40B4-BE49-F238E27FC236}">
                            <a16:creationId xmlns:a16="http://schemas.microsoft.com/office/drawing/2014/main" id="{732AF1E7-7460-4810-BD62-39393CE57862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6876" name="BC$Y$211#BR34">
                      <a:extLst>
                        <a:ext uri="{FF2B5EF4-FFF2-40B4-BE49-F238E27FC236}">
                          <a16:creationId xmlns:a16="http://schemas.microsoft.com/office/drawing/2014/main" id="{70055B5B-1C7E-4D46-8572-4CAFCDAFAF7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6878" name="BC$Y$211#BR35">
                    <a:extLst>
                      <a:ext uri="{FF2B5EF4-FFF2-40B4-BE49-F238E27FC236}">
                        <a16:creationId xmlns:a16="http://schemas.microsoft.com/office/drawing/2014/main" id="{D4594D43-B84A-4C35-BDE1-13632B5742F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6880" name="BC$Y$211#BR36">
                  <a:extLst>
                    <a:ext uri="{FF2B5EF4-FFF2-40B4-BE49-F238E27FC236}">
                      <a16:creationId xmlns:a16="http://schemas.microsoft.com/office/drawing/2014/main" id="{C2A9C628-232A-4E97-AF01-8A4B485BB567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6882" name="BC$Y$211#BR37">
                <a:extLst>
                  <a:ext uri="{FF2B5EF4-FFF2-40B4-BE49-F238E27FC236}">
                    <a16:creationId xmlns:a16="http://schemas.microsoft.com/office/drawing/2014/main" id="{E84BA66E-8269-43C4-AF1F-666C3AAA8C7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884" name="BC$Y$211#BR38">
              <a:extLst>
                <a:ext uri="{FF2B5EF4-FFF2-40B4-BE49-F238E27FC236}">
                  <a16:creationId xmlns:a16="http://schemas.microsoft.com/office/drawing/2014/main" id="{85F3BFCA-C368-45BC-BBDF-25A9813E159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886" name="BC$Y$211#BR39">
            <a:extLst>
              <a:ext uri="{FF2B5EF4-FFF2-40B4-BE49-F238E27FC236}">
                <a16:creationId xmlns:a16="http://schemas.microsoft.com/office/drawing/2014/main" id="{A4F36E7D-2ABF-4E5A-81A0-5B015CD177D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228</xdr:row>
      <xdr:rowOff>9525</xdr:rowOff>
    </xdr:from>
    <xdr:to>
      <xdr:col>13</xdr:col>
      <xdr:colOff>209550</xdr:colOff>
      <xdr:row>230</xdr:row>
      <xdr:rowOff>9525</xdr:rowOff>
    </xdr:to>
    <xdr:grpSp>
      <xdr:nvGrpSpPr>
        <xdr:cNvPr id="7748" name="BC$K$222#GR">
          <a:extLst>
            <a:ext uri="{FF2B5EF4-FFF2-40B4-BE49-F238E27FC236}">
              <a16:creationId xmlns:a16="http://schemas.microsoft.com/office/drawing/2014/main" id="{28595461-13B5-4028-A2DD-DF1B572DCC70}"/>
            </a:ext>
          </a:extLst>
        </xdr:cNvPr>
        <xdr:cNvGrpSpPr/>
      </xdr:nvGrpSpPr>
      <xdr:grpSpPr>
        <a:xfrm>
          <a:off x="2676525" y="43348275"/>
          <a:ext cx="381000" cy="381000"/>
          <a:chOff x="0" y="0"/>
          <a:chExt cx="381000" cy="381000"/>
        </a:xfrm>
      </xdr:grpSpPr>
      <xdr:grpSp>
        <xdr:nvGrpSpPr>
          <xdr:cNvPr id="7746" name="BC$K$222#GR">
            <a:extLst>
              <a:ext uri="{FF2B5EF4-FFF2-40B4-BE49-F238E27FC236}">
                <a16:creationId xmlns:a16="http://schemas.microsoft.com/office/drawing/2014/main" id="{A4E6468D-348D-4162-8534-7762D1202907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7744" name="BC$K$222#GR">
              <a:extLst>
                <a:ext uri="{FF2B5EF4-FFF2-40B4-BE49-F238E27FC236}">
                  <a16:creationId xmlns:a16="http://schemas.microsoft.com/office/drawing/2014/main" id="{60A6CBA7-BBF1-488E-845C-13564582492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7742" name="BC$K$222#GR">
                <a:extLst>
                  <a:ext uri="{FF2B5EF4-FFF2-40B4-BE49-F238E27FC236}">
                    <a16:creationId xmlns:a16="http://schemas.microsoft.com/office/drawing/2014/main" id="{0CECF827-28FD-4DA7-AD03-4E387EB2DA5F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7740" name="BC$K$222#GR">
                  <a:extLst>
                    <a:ext uri="{FF2B5EF4-FFF2-40B4-BE49-F238E27FC236}">
                      <a16:creationId xmlns:a16="http://schemas.microsoft.com/office/drawing/2014/main" id="{83B0C60C-E4DA-45EF-AD07-D11FF94E50A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7738" name="BC$K$222#GR">
                    <a:extLst>
                      <a:ext uri="{FF2B5EF4-FFF2-40B4-BE49-F238E27FC236}">
                        <a16:creationId xmlns:a16="http://schemas.microsoft.com/office/drawing/2014/main" id="{BB9211B5-2095-45C3-9A9A-870595054716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7736" name="BC$K$222#GR">
                      <a:extLst>
                        <a:ext uri="{FF2B5EF4-FFF2-40B4-BE49-F238E27FC236}">
                          <a16:creationId xmlns:a16="http://schemas.microsoft.com/office/drawing/2014/main" id="{2F3697C7-0C57-424B-BC75-EADE8B3DD6E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7734" name="BC$K$222#GR">
                        <a:extLst>
                          <a:ext uri="{FF2B5EF4-FFF2-40B4-BE49-F238E27FC236}">
                            <a16:creationId xmlns:a16="http://schemas.microsoft.com/office/drawing/2014/main" id="{21D1B324-7EA5-453E-9FEE-0A843B943C7E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7732" name="BC$K$222#GR">
                          <a:extLst>
                            <a:ext uri="{FF2B5EF4-FFF2-40B4-BE49-F238E27FC236}">
                              <a16:creationId xmlns:a16="http://schemas.microsoft.com/office/drawing/2014/main" id="{414B8437-1333-412C-947F-E8347212A41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7730" name="BC$K$222#GR">
                            <a:extLst>
                              <a:ext uri="{FF2B5EF4-FFF2-40B4-BE49-F238E27FC236}">
                                <a16:creationId xmlns:a16="http://schemas.microsoft.com/office/drawing/2014/main" id="{45AECCA7-BA26-40E4-89A4-D1EBFE3633A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7728" name="BC$K$222#GR">
                              <a:extLst>
                                <a:ext uri="{FF2B5EF4-FFF2-40B4-BE49-F238E27FC236}">
                                  <a16:creationId xmlns:a16="http://schemas.microsoft.com/office/drawing/2014/main" id="{4FCAFAF8-377C-4E61-9B32-D78544934F01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7726" name="BC$K$222#GR">
                                <a:extLst>
                                  <a:ext uri="{FF2B5EF4-FFF2-40B4-BE49-F238E27FC236}">
                                    <a16:creationId xmlns:a16="http://schemas.microsoft.com/office/drawing/2014/main" id="{FBCB3460-D09E-41B3-B435-F384C16207F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7724" name="BC$K$222#GR">
                                  <a:extLst>
                                    <a:ext uri="{FF2B5EF4-FFF2-40B4-BE49-F238E27FC236}">
                                      <a16:creationId xmlns:a16="http://schemas.microsoft.com/office/drawing/2014/main" id="{11072050-C576-4AB2-881E-696F1788B9EB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7722" name="BC$K$222#GR">
                                    <a:extLst>
                                      <a:ext uri="{FF2B5EF4-FFF2-40B4-BE49-F238E27FC236}">
                                        <a16:creationId xmlns:a16="http://schemas.microsoft.com/office/drawing/2014/main" id="{4549EEC3-4399-4090-8EEC-9CC0ECACD00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7720" name="BC$K$222#GR">
                                      <a:extLst>
                                        <a:ext uri="{FF2B5EF4-FFF2-40B4-BE49-F238E27FC236}">
                                          <a16:creationId xmlns:a16="http://schemas.microsoft.com/office/drawing/2014/main" id="{C851326D-E4DF-4C77-A3B8-9AE57DAC1C7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7718" name="BC$K$22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E84DE80-FC53-4B4C-B52E-6466960E1CD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7716" name="BC$K$22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BB29C39-0283-4DA5-A776-8734C31763B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7714" name="BC$K$22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83022B4-3037-429A-A1F2-1AE3BDEF19F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7712" name="BC$K$22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2B5DE56-9BA0-441B-8A66-7EC32CD9B4D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7710" name="BC$K$22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4B20439-8D17-430F-A5F1-E472A04F0BC4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7708" name="BC$K$22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1E938AA-6F91-45FB-B9D1-4CC92F048B2A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7706" name="BC$K$22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A4AF5F3-79E4-4521-9FBB-09658073345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7704" name="BC$K$22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3C656A5-B293-49AA-B879-48B3ED8BEB0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7702" name="BC$K$22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DA9CE74-2CF8-4360-B1C8-D9AD28B9A3B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7700" name="BC$K$22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7729C11-0E42-4D59-8A44-C180E2B48DF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7698" name="BC$K$22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496A306-9FAF-4527-A33A-C09329F1391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7696" name="BC$K$22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1CCBBED-7554-4C9F-90E7-FD308ACA01D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7694" name="BC$K$22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149FC67-928B-4F12-8617-E618B3DF329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7692" name="BC$K$22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86C3C22-EFAC-409F-BD3B-C6C8E06659B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7690" name="BC$K$22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19E1E0F-AE69-43A2-9735-ED9CDF0D5E0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7688" name="BC$K$22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D3DCAF4-9763-4618-9A9E-924ED29B4F3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7686" name="BC$K$22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BE298E7-995C-4577-A601-E0C55286DE6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7684" name="BC$K$22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A826E00-4D0F-4B13-9A8F-E2C65A2C523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7682" name="BC$K$22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2F5E976-BC04-4DA6-B954-2E91078DEAF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7680" name="BC$K$22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2480446-43E6-4961-85B7-E5B25F0A458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7678" name="BC$K$22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04EE884-8EA0-454D-9D77-DF8D38C0301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7676" name="BC$K$22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AF75438-9B97-4017-A7EA-2AB4BBD13A0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674" name="BC$K$222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4BA3A60-0D2D-4C70-97A9-CA97CC0A166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675" name="BC$K$222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F1BF741-AB1E-4ABD-AD35-DC0A1EC30A9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7677" name="BC$K$222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5BF20ED-E272-41B8-A911-2B9830226D9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7679" name="BC$K$222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E2ED219-A1B9-47C9-8D1D-8816C5E6F4F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7681" name="BC$K$222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D72F9E3-B4FD-408C-974D-FD3AB539020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7683" name="BC$K$222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070B512-3F33-47D9-B331-5C1E2D30C72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7685" name="BC$K$222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21DF16A-9FFC-4616-9BD3-AA859079C49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7687" name="BC$K$222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5BD7943-6651-4669-858D-064758DDCFC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7689" name="BC$K$222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942AC8C-2CAF-47B7-9A62-09392CD87CA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7691" name="BC$K$222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4DBAAC1-B6A8-4F50-9DB4-9EEF58A519B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7693" name="BC$K$222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136E40D-D894-4F99-9E95-58F78917EBB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7695" name="BC$K$222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56FF0EA-AA34-4D17-93D4-394B225E70A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7697" name="BC$K$222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32E0706-8146-40C8-ABA2-6A1043B0B6D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7699" name="BC$K$222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2773A0A-0B73-4E50-89A5-BA66FADC309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7701" name="BC$K$222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E8E7C38-374F-44BF-8032-DF35DF7EE25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7703" name="BC$K$222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02B0157-883A-4201-ACC9-EE5AE013F518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7705" name="BC$K$222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88C23B8-8F98-4E7A-B6A3-88B43027CCA6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7707" name="BC$K$222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7D58E94-1BF8-4160-B95C-9728BCB10226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7709" name="BC$K$222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FC08911-85AE-460B-8FA2-BF8345B3CCF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7711" name="BC$K$222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36BCF37-9886-4D94-A14B-41FB2AC405A7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7713" name="BC$K$222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4DBDDBF-6EA1-4814-8298-C3A3BD618321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7715" name="BC$K$222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E121DEA-7243-468A-95E6-B657AFEE3198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7717" name="BC$K$222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2BB6F39-65D7-4BC7-BCAA-BBFA968499F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7719" name="BC$K$222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D3354B2-F20A-49EE-9C1E-4881140C94C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721" name="BC$K$222#BR24">
                                      <a:extLst>
                                        <a:ext uri="{FF2B5EF4-FFF2-40B4-BE49-F238E27FC236}">
                                          <a16:creationId xmlns:a16="http://schemas.microsoft.com/office/drawing/2014/main" id="{1E7B1D78-85E8-4F60-8D4B-81A367B0C3B3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723" name="BC$K$222#BR25">
                                    <a:extLst>
                                      <a:ext uri="{FF2B5EF4-FFF2-40B4-BE49-F238E27FC236}">
                                        <a16:creationId xmlns:a16="http://schemas.microsoft.com/office/drawing/2014/main" id="{382B1403-E1C5-44A3-A776-DC8022DEF9A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725" name="BC$K$222#BR26">
                                  <a:extLst>
                                    <a:ext uri="{FF2B5EF4-FFF2-40B4-BE49-F238E27FC236}">
                                      <a16:creationId xmlns:a16="http://schemas.microsoft.com/office/drawing/2014/main" id="{2EEFFC72-A0BE-42BF-9B9D-70A2373F6513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727" name="BC$K$222#BR27">
                                <a:extLst>
                                  <a:ext uri="{FF2B5EF4-FFF2-40B4-BE49-F238E27FC236}">
                                    <a16:creationId xmlns:a16="http://schemas.microsoft.com/office/drawing/2014/main" id="{0A413A9C-D60E-43E8-8749-60A5B57AFF18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729" name="BC$K$222#BR28">
                              <a:extLst>
                                <a:ext uri="{FF2B5EF4-FFF2-40B4-BE49-F238E27FC236}">
                                  <a16:creationId xmlns:a16="http://schemas.microsoft.com/office/drawing/2014/main" id="{AFABB5C3-3ABF-4F87-AAC3-FD365C754F4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7731" name="BC$K$222#BR29">
                            <a:extLst>
                              <a:ext uri="{FF2B5EF4-FFF2-40B4-BE49-F238E27FC236}">
                                <a16:creationId xmlns:a16="http://schemas.microsoft.com/office/drawing/2014/main" id="{75123ECF-E98E-49FB-81A0-A2B5D4E205DA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7733" name="BC$K$222#BR30">
                          <a:extLst>
                            <a:ext uri="{FF2B5EF4-FFF2-40B4-BE49-F238E27FC236}">
                              <a16:creationId xmlns:a16="http://schemas.microsoft.com/office/drawing/2014/main" id="{31D278A2-88D6-4689-A71F-A75B25B7FB9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7735" name="BC$K$222#BR31">
                        <a:extLst>
                          <a:ext uri="{FF2B5EF4-FFF2-40B4-BE49-F238E27FC236}">
                            <a16:creationId xmlns:a16="http://schemas.microsoft.com/office/drawing/2014/main" id="{991A0853-710A-4119-B444-D2CDF0CED9B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7737" name="BC$K$222#BR32">
                      <a:extLst>
                        <a:ext uri="{FF2B5EF4-FFF2-40B4-BE49-F238E27FC236}">
                          <a16:creationId xmlns:a16="http://schemas.microsoft.com/office/drawing/2014/main" id="{5A357219-0631-4AA9-AB0F-E79AFA6C45BA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7739" name="BC$K$222#BR33">
                    <a:extLst>
                      <a:ext uri="{FF2B5EF4-FFF2-40B4-BE49-F238E27FC236}">
                        <a16:creationId xmlns:a16="http://schemas.microsoft.com/office/drawing/2014/main" id="{BA65AB01-FBF6-4ECF-BB18-DBC400C13EB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7741" name="BC$K$222#BR34">
                  <a:extLst>
                    <a:ext uri="{FF2B5EF4-FFF2-40B4-BE49-F238E27FC236}">
                      <a16:creationId xmlns:a16="http://schemas.microsoft.com/office/drawing/2014/main" id="{A8DC9A1E-02CA-416B-B42F-2CC9D7208F22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7743" name="BC$K$222#BR35">
                <a:extLst>
                  <a:ext uri="{FF2B5EF4-FFF2-40B4-BE49-F238E27FC236}">
                    <a16:creationId xmlns:a16="http://schemas.microsoft.com/office/drawing/2014/main" id="{F93CFE64-C3A0-44C7-AD1C-92932F69423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7745" name="BC$K$222#BR36">
              <a:extLst>
                <a:ext uri="{FF2B5EF4-FFF2-40B4-BE49-F238E27FC236}">
                  <a16:creationId xmlns:a16="http://schemas.microsoft.com/office/drawing/2014/main" id="{F066355F-FA0C-4811-B057-1E7C3CB71B3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747" name="BC$K$222#BR37">
            <a:extLst>
              <a:ext uri="{FF2B5EF4-FFF2-40B4-BE49-F238E27FC236}">
                <a16:creationId xmlns:a16="http://schemas.microsoft.com/office/drawing/2014/main" id="{B3189DFA-B5BB-4F74-9046-27824DB6D855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228</xdr:row>
      <xdr:rowOff>9525</xdr:rowOff>
    </xdr:from>
    <xdr:to>
      <xdr:col>27</xdr:col>
      <xdr:colOff>190500</xdr:colOff>
      <xdr:row>230</xdr:row>
      <xdr:rowOff>9525</xdr:rowOff>
    </xdr:to>
    <xdr:grpSp>
      <xdr:nvGrpSpPr>
        <xdr:cNvPr id="7823" name="BC$Y$222#GR">
          <a:extLst>
            <a:ext uri="{FF2B5EF4-FFF2-40B4-BE49-F238E27FC236}">
              <a16:creationId xmlns:a16="http://schemas.microsoft.com/office/drawing/2014/main" id="{199A89A7-C9EB-4C4A-B3A9-6105B226D2EA}"/>
            </a:ext>
          </a:extLst>
        </xdr:cNvPr>
        <xdr:cNvGrpSpPr/>
      </xdr:nvGrpSpPr>
      <xdr:grpSpPr>
        <a:xfrm>
          <a:off x="5772150" y="43348275"/>
          <a:ext cx="381000" cy="381000"/>
          <a:chOff x="0" y="0"/>
          <a:chExt cx="381000" cy="381000"/>
        </a:xfrm>
      </xdr:grpSpPr>
      <xdr:grpSp>
        <xdr:nvGrpSpPr>
          <xdr:cNvPr id="7821" name="BC$Y$222#GR">
            <a:extLst>
              <a:ext uri="{FF2B5EF4-FFF2-40B4-BE49-F238E27FC236}">
                <a16:creationId xmlns:a16="http://schemas.microsoft.com/office/drawing/2014/main" id="{49075AFA-05E2-4754-BA69-D393B3A6733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7819" name="BC$Y$222#GR">
              <a:extLst>
                <a:ext uri="{FF2B5EF4-FFF2-40B4-BE49-F238E27FC236}">
                  <a16:creationId xmlns:a16="http://schemas.microsoft.com/office/drawing/2014/main" id="{3C977E33-951F-4EFB-9528-0999117D5DB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7817" name="BC$Y$222#GR">
                <a:extLst>
                  <a:ext uri="{FF2B5EF4-FFF2-40B4-BE49-F238E27FC236}">
                    <a16:creationId xmlns:a16="http://schemas.microsoft.com/office/drawing/2014/main" id="{9775CC6B-8932-4E00-9D36-9941AE2C113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7815" name="BC$Y$222#GR">
                  <a:extLst>
                    <a:ext uri="{FF2B5EF4-FFF2-40B4-BE49-F238E27FC236}">
                      <a16:creationId xmlns:a16="http://schemas.microsoft.com/office/drawing/2014/main" id="{E56AE617-F153-45E3-A9D6-956E9AF0417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7813" name="BC$Y$222#GR">
                    <a:extLst>
                      <a:ext uri="{FF2B5EF4-FFF2-40B4-BE49-F238E27FC236}">
                        <a16:creationId xmlns:a16="http://schemas.microsoft.com/office/drawing/2014/main" id="{88246A95-1FB3-4E35-AFF4-3CC7E034889C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7811" name="BC$Y$222#GR">
                      <a:extLst>
                        <a:ext uri="{FF2B5EF4-FFF2-40B4-BE49-F238E27FC236}">
                          <a16:creationId xmlns:a16="http://schemas.microsoft.com/office/drawing/2014/main" id="{F08EFA38-48C3-47F2-80A1-C5617779BA82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7809" name="BC$Y$222#GR">
                        <a:extLst>
                          <a:ext uri="{FF2B5EF4-FFF2-40B4-BE49-F238E27FC236}">
                            <a16:creationId xmlns:a16="http://schemas.microsoft.com/office/drawing/2014/main" id="{2B3865F5-282E-4245-8766-A8770A7D773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7807" name="BC$Y$222#GR">
                          <a:extLst>
                            <a:ext uri="{FF2B5EF4-FFF2-40B4-BE49-F238E27FC236}">
                              <a16:creationId xmlns:a16="http://schemas.microsoft.com/office/drawing/2014/main" id="{613F9A09-62ED-49FC-8D89-618E5CBA447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7805" name="BC$Y$222#GR">
                            <a:extLst>
                              <a:ext uri="{FF2B5EF4-FFF2-40B4-BE49-F238E27FC236}">
                                <a16:creationId xmlns:a16="http://schemas.microsoft.com/office/drawing/2014/main" id="{55BD17A5-78D8-4B76-9077-0CD8198A48D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7803" name="BC$Y$222#GR">
                              <a:extLst>
                                <a:ext uri="{FF2B5EF4-FFF2-40B4-BE49-F238E27FC236}">
                                  <a16:creationId xmlns:a16="http://schemas.microsoft.com/office/drawing/2014/main" id="{444D0D4A-D391-4EEE-94BA-71E8F1E614D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7801" name="BC$Y$222#GR">
                                <a:extLst>
                                  <a:ext uri="{FF2B5EF4-FFF2-40B4-BE49-F238E27FC236}">
                                    <a16:creationId xmlns:a16="http://schemas.microsoft.com/office/drawing/2014/main" id="{05AF50C8-E4D5-40FE-9905-1A0ED840060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7799" name="BC$Y$222#GR">
                                  <a:extLst>
                                    <a:ext uri="{FF2B5EF4-FFF2-40B4-BE49-F238E27FC236}">
                                      <a16:creationId xmlns:a16="http://schemas.microsoft.com/office/drawing/2014/main" id="{5400567D-C7E8-40D9-9F28-40799CADA754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7797" name="BC$Y$222#GR">
                                    <a:extLst>
                                      <a:ext uri="{FF2B5EF4-FFF2-40B4-BE49-F238E27FC236}">
                                        <a16:creationId xmlns:a16="http://schemas.microsoft.com/office/drawing/2014/main" id="{BAA525BD-C46E-47F7-81AF-013BAD60C0A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7795" name="BC$Y$222#GR">
                                      <a:extLst>
                                        <a:ext uri="{FF2B5EF4-FFF2-40B4-BE49-F238E27FC236}">
                                          <a16:creationId xmlns:a16="http://schemas.microsoft.com/office/drawing/2014/main" id="{D927C100-2A93-4E0C-8481-B334E3A7E58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7793" name="BC$Y$22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BED064E-750F-48C1-87E3-7BB998D34485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7791" name="BC$Y$22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B41AECB-6FE6-4D59-A375-D4C9D0AAE36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7789" name="BC$Y$22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8703F24-D9D8-4556-BA56-7967DE8088B1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7787" name="BC$Y$22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07EB832-919E-421F-92D8-6A11C5480D24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7785" name="BC$Y$22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4622B2B-4E6D-46C5-9DB7-E343427C6FB3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7783" name="BC$Y$22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713BF6A-029E-4ACA-9E41-BE51BAD9D0F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7781" name="BC$Y$22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FC450EF-4A83-469F-819E-960291359D63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7779" name="BC$Y$22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780E832-EA76-446F-88F4-6925C0980C71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7777" name="BC$Y$22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C180BCB-CE04-44C6-93B3-7C189FE9E6E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7775" name="BC$Y$22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64E8BB2-6BEB-43A3-80CC-410BB1F0F9E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7773" name="BC$Y$22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5C000FC-FCA8-4096-B6B1-C7D83631284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7771" name="BC$Y$22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BCC4ACF-9890-40F5-B078-FE3012D168A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7769" name="BC$Y$22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7880EEE-D946-4ECF-B2A4-E1010E5DC56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7767" name="BC$Y$22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F22FC74-A9C7-4A2C-985B-70CB371771F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7765" name="BC$Y$22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97B2B05-3942-429A-8A48-3A9F98CDE3E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7763" name="BC$Y$22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2EE4F1B-CAF8-41AF-97E9-32E5935894C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7761" name="BC$Y$22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1D7C5BD-EAB0-4B4F-8ED7-24A1894AEFE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7759" name="BC$Y$22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A8E08C2-7704-4E5F-AE3F-89E10D3B1C6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7757" name="BC$Y$22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FB095A0-42CF-42EB-A31B-23CE7139F89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7755" name="BC$Y$22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5440A18-F121-4DDB-A394-D7F9AEFA623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7753" name="BC$Y$22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5229ED4-2601-4A82-88B6-B875843BDAA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7751" name="BC$Y$22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13186DE-4FC9-45BC-BFE4-1C44D02385B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749" name="BC$Y$222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D2715D3-5F35-40AB-8BA4-8514AA3D8E4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750" name="BC$Y$222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4428783-9F3B-466E-B00C-5A6960AAE3D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7752" name="BC$Y$222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79CF8CF-C847-4689-9D4D-33AF0E4E7D3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7754" name="BC$Y$222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18F5E0E-5310-4DB8-B80A-C2B980D1705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7756" name="BC$Y$222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2C24CEE-B752-4EF1-9DB9-69D13BA896D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7758" name="BC$Y$222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594B557-2B7A-4325-8E21-D456E6CCDBD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7760" name="BC$Y$222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97BAD18-9DE5-47B8-94F6-EF812E6DB93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7762" name="BC$Y$222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24A35C3-9E05-44B7-8D3E-C29BED8D632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7764" name="BC$Y$222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FE129BF-2EFB-43FF-916A-CE78CE19191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7766" name="BC$Y$222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FAC3DBC-A872-49E2-A78B-EDE5FD1F01B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7768" name="BC$Y$222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C090264-E5B6-4A0D-AC64-22E9D03BA1D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7770" name="BC$Y$222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8EDC35B-C05E-4C77-B859-B1B2F9D25E1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7772" name="BC$Y$222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E00D24E-B1CB-42CA-8B7A-DA9885F643F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7774" name="BC$Y$222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07EF9EE-F833-4084-9E84-B01974A1BB6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7776" name="BC$Y$222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19F4467-C741-4AFD-A4DE-F4137F24DCF5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7778" name="BC$Y$222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A682687-2D6E-4056-9055-5385816CB80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7780" name="BC$Y$222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B0D508E-5C4A-4BFE-8A3C-B69B575BE1A3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7782" name="BC$Y$222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B7A433D-CE36-4DFC-B4BD-78FCADF6CB7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7784" name="BC$Y$222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93D2D75-2431-46E9-A8F7-5C3C46646FA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7786" name="BC$Y$222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E7747B3-1A6B-48A0-9030-C06D078D246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7788" name="BC$Y$222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941231C-1DFD-4162-AE90-C6C0088A75D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7790" name="BC$Y$222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C60A874-2E0C-44B1-A8EC-CDF9BFC222F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7792" name="BC$Y$222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6156796-422A-40E5-822D-00BB8B4A511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7794" name="BC$Y$222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2005FAF-46DC-4A2B-9DEE-03969E3E274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796" name="BC$Y$222#BR24">
                                      <a:extLst>
                                        <a:ext uri="{FF2B5EF4-FFF2-40B4-BE49-F238E27FC236}">
                                          <a16:creationId xmlns:a16="http://schemas.microsoft.com/office/drawing/2014/main" id="{2BB6FC78-3BF6-4DE0-A0E3-5C7FA30073DA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798" name="BC$Y$222#BR25">
                                    <a:extLst>
                                      <a:ext uri="{FF2B5EF4-FFF2-40B4-BE49-F238E27FC236}">
                                        <a16:creationId xmlns:a16="http://schemas.microsoft.com/office/drawing/2014/main" id="{D63CDD71-E018-48DB-94E4-6DEC885DE1C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800" name="BC$Y$222#BR26">
                                  <a:extLst>
                                    <a:ext uri="{FF2B5EF4-FFF2-40B4-BE49-F238E27FC236}">
                                      <a16:creationId xmlns:a16="http://schemas.microsoft.com/office/drawing/2014/main" id="{833B54A4-D88D-470A-9E78-A3D6D5811F4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802" name="BC$Y$222#BR27">
                                <a:extLst>
                                  <a:ext uri="{FF2B5EF4-FFF2-40B4-BE49-F238E27FC236}">
                                    <a16:creationId xmlns:a16="http://schemas.microsoft.com/office/drawing/2014/main" id="{A21B5007-A17C-428A-9F8A-0F77579B108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804" name="BC$Y$222#BR28">
                              <a:extLst>
                                <a:ext uri="{FF2B5EF4-FFF2-40B4-BE49-F238E27FC236}">
                                  <a16:creationId xmlns:a16="http://schemas.microsoft.com/office/drawing/2014/main" id="{19DDDA23-8C19-4AE6-9970-FFC4E5C3274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7806" name="BC$Y$222#BR29">
                            <a:extLst>
                              <a:ext uri="{FF2B5EF4-FFF2-40B4-BE49-F238E27FC236}">
                                <a16:creationId xmlns:a16="http://schemas.microsoft.com/office/drawing/2014/main" id="{90CACFE2-E048-4FB9-AADD-33C1C0C5DE4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7808" name="BC$Y$222#BR30">
                          <a:extLst>
                            <a:ext uri="{FF2B5EF4-FFF2-40B4-BE49-F238E27FC236}">
                              <a16:creationId xmlns:a16="http://schemas.microsoft.com/office/drawing/2014/main" id="{362BE294-36F4-48C1-B6A0-D2DE03C06AC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7810" name="BC$Y$222#BR31">
                        <a:extLst>
                          <a:ext uri="{FF2B5EF4-FFF2-40B4-BE49-F238E27FC236}">
                            <a16:creationId xmlns:a16="http://schemas.microsoft.com/office/drawing/2014/main" id="{A28035AC-2BAB-4534-9951-89072D34B322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7812" name="BC$Y$222#BR32">
                      <a:extLst>
                        <a:ext uri="{FF2B5EF4-FFF2-40B4-BE49-F238E27FC236}">
                          <a16:creationId xmlns:a16="http://schemas.microsoft.com/office/drawing/2014/main" id="{9606F6C8-BC54-49D7-94D7-3B245DB0D8B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7814" name="BC$Y$222#BR33">
                    <a:extLst>
                      <a:ext uri="{FF2B5EF4-FFF2-40B4-BE49-F238E27FC236}">
                        <a16:creationId xmlns:a16="http://schemas.microsoft.com/office/drawing/2014/main" id="{00B7DD04-83ED-452C-BF6D-2317B9A593B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7816" name="BC$Y$222#BR34">
                  <a:extLst>
                    <a:ext uri="{FF2B5EF4-FFF2-40B4-BE49-F238E27FC236}">
                      <a16:creationId xmlns:a16="http://schemas.microsoft.com/office/drawing/2014/main" id="{735F1D1A-9290-4CC6-B5B5-9405C36B88B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7818" name="BC$Y$222#BR35">
                <a:extLst>
                  <a:ext uri="{FF2B5EF4-FFF2-40B4-BE49-F238E27FC236}">
                    <a16:creationId xmlns:a16="http://schemas.microsoft.com/office/drawing/2014/main" id="{21EF0D46-E9DB-4B75-98D8-DDC3A8169341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7820" name="BC$Y$222#BR36">
              <a:extLst>
                <a:ext uri="{FF2B5EF4-FFF2-40B4-BE49-F238E27FC236}">
                  <a16:creationId xmlns:a16="http://schemas.microsoft.com/office/drawing/2014/main" id="{AD5B94BA-C7DE-4FC7-AECC-956FDCB75A88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822" name="BC$Y$222#BR37">
            <a:extLst>
              <a:ext uri="{FF2B5EF4-FFF2-40B4-BE49-F238E27FC236}">
                <a16:creationId xmlns:a16="http://schemas.microsoft.com/office/drawing/2014/main" id="{DDB70A06-0A12-4CDA-9204-2B1F6C0AE7D1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239</xdr:row>
      <xdr:rowOff>0</xdr:rowOff>
    </xdr:from>
    <xdr:to>
      <xdr:col>13</xdr:col>
      <xdr:colOff>200025</xdr:colOff>
      <xdr:row>241</xdr:row>
      <xdr:rowOff>0</xdr:rowOff>
    </xdr:to>
    <xdr:grpSp>
      <xdr:nvGrpSpPr>
        <xdr:cNvPr id="7898" name="BC$K$233#GR">
          <a:extLst>
            <a:ext uri="{FF2B5EF4-FFF2-40B4-BE49-F238E27FC236}">
              <a16:creationId xmlns:a16="http://schemas.microsoft.com/office/drawing/2014/main" id="{0754F050-652A-4D4B-92AE-0E5F790BC7F6}"/>
            </a:ext>
          </a:extLst>
        </xdr:cNvPr>
        <xdr:cNvGrpSpPr/>
      </xdr:nvGrpSpPr>
      <xdr:grpSpPr>
        <a:xfrm>
          <a:off x="2667000" y="45434250"/>
          <a:ext cx="381000" cy="381000"/>
          <a:chOff x="0" y="0"/>
          <a:chExt cx="381000" cy="381000"/>
        </a:xfrm>
      </xdr:grpSpPr>
      <xdr:grpSp>
        <xdr:nvGrpSpPr>
          <xdr:cNvPr id="7896" name="BC$K$233#GR">
            <a:extLst>
              <a:ext uri="{FF2B5EF4-FFF2-40B4-BE49-F238E27FC236}">
                <a16:creationId xmlns:a16="http://schemas.microsoft.com/office/drawing/2014/main" id="{DCD24FD3-3B94-488A-AB7F-B00A6C86BC3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7894" name="BC$K$233#GR">
              <a:extLst>
                <a:ext uri="{FF2B5EF4-FFF2-40B4-BE49-F238E27FC236}">
                  <a16:creationId xmlns:a16="http://schemas.microsoft.com/office/drawing/2014/main" id="{5641AE66-1E35-4084-9AFB-1D57B62AA1D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7892" name="BC$K$233#GR">
                <a:extLst>
                  <a:ext uri="{FF2B5EF4-FFF2-40B4-BE49-F238E27FC236}">
                    <a16:creationId xmlns:a16="http://schemas.microsoft.com/office/drawing/2014/main" id="{14141823-3DAC-40F5-BEC3-8C6AAECEA85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7890" name="BC$K$233#GR">
                  <a:extLst>
                    <a:ext uri="{FF2B5EF4-FFF2-40B4-BE49-F238E27FC236}">
                      <a16:creationId xmlns:a16="http://schemas.microsoft.com/office/drawing/2014/main" id="{67514438-B244-44DD-ABD9-90995AF5B37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7888" name="BC$K$233#GR">
                    <a:extLst>
                      <a:ext uri="{FF2B5EF4-FFF2-40B4-BE49-F238E27FC236}">
                        <a16:creationId xmlns:a16="http://schemas.microsoft.com/office/drawing/2014/main" id="{A5BF15DB-DEED-4B70-83EB-8DB95524FB8B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7886" name="BC$K$233#GR">
                      <a:extLst>
                        <a:ext uri="{FF2B5EF4-FFF2-40B4-BE49-F238E27FC236}">
                          <a16:creationId xmlns:a16="http://schemas.microsoft.com/office/drawing/2014/main" id="{BB76B6E0-E521-4C95-A29C-9CCA5683829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7884" name="BC$K$233#GR">
                        <a:extLst>
                          <a:ext uri="{FF2B5EF4-FFF2-40B4-BE49-F238E27FC236}">
                            <a16:creationId xmlns:a16="http://schemas.microsoft.com/office/drawing/2014/main" id="{D80FC3A0-8A4A-4DF8-9F10-CD68CBCC32A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7882" name="BC$K$233#GR">
                          <a:extLst>
                            <a:ext uri="{FF2B5EF4-FFF2-40B4-BE49-F238E27FC236}">
                              <a16:creationId xmlns:a16="http://schemas.microsoft.com/office/drawing/2014/main" id="{43536FF7-E76E-4119-97A0-B0428F4125C1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7880" name="BC$K$233#GR">
                            <a:extLst>
                              <a:ext uri="{FF2B5EF4-FFF2-40B4-BE49-F238E27FC236}">
                                <a16:creationId xmlns:a16="http://schemas.microsoft.com/office/drawing/2014/main" id="{5814CF54-DB9B-4ACA-819D-1C06F31FEA6F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7878" name="BC$K$233#GR">
                              <a:extLst>
                                <a:ext uri="{FF2B5EF4-FFF2-40B4-BE49-F238E27FC236}">
                                  <a16:creationId xmlns:a16="http://schemas.microsoft.com/office/drawing/2014/main" id="{31F7A834-9277-4287-99AA-A67DB842BA2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7876" name="BC$K$233#GR">
                                <a:extLst>
                                  <a:ext uri="{FF2B5EF4-FFF2-40B4-BE49-F238E27FC236}">
                                    <a16:creationId xmlns:a16="http://schemas.microsoft.com/office/drawing/2014/main" id="{3C8B10F8-1FF9-447B-A4F7-0D07A7E1BB5E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7874" name="BC$K$233#GR">
                                  <a:extLst>
                                    <a:ext uri="{FF2B5EF4-FFF2-40B4-BE49-F238E27FC236}">
                                      <a16:creationId xmlns:a16="http://schemas.microsoft.com/office/drawing/2014/main" id="{835B3B44-6CCE-48D1-A5DF-DCD4B93BB8DB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7872" name="BC$K$233#GR">
                                    <a:extLst>
                                      <a:ext uri="{FF2B5EF4-FFF2-40B4-BE49-F238E27FC236}">
                                        <a16:creationId xmlns:a16="http://schemas.microsoft.com/office/drawing/2014/main" id="{D28F698D-9AA3-4CCB-B584-9C6BEF67C3E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7870" name="BC$K$233#GR">
                                      <a:extLst>
                                        <a:ext uri="{FF2B5EF4-FFF2-40B4-BE49-F238E27FC236}">
                                          <a16:creationId xmlns:a16="http://schemas.microsoft.com/office/drawing/2014/main" id="{719921A4-ADE6-404F-AB92-EF0281E675A4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7868" name="BC$K$23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40EDFCF-9F71-4811-98FD-C065C788E51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7866" name="BC$K$23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495C464-F7EB-49A2-AF47-291DB59B992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7864" name="BC$K$23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378D860-5DC9-4535-A97E-5E773D132643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7862" name="BC$K$23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D2B8557-37C5-449F-B11B-F8F786BB6AE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7860" name="BC$K$23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F9A88FB-C320-4865-921F-314F33C2737F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7858" name="BC$K$23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9EB0ADB-F451-493C-873E-B8893A4996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7856" name="BC$K$23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D11732F-4587-477A-A8F1-D468E723FAF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7854" name="BC$K$23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FE76174-D128-46B4-B7DF-D6F1E1FB498C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7852" name="BC$K$23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117D4D5-61C4-4350-9EE4-109CB09707D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7850" name="BC$K$23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F2BE2B4-9CC4-450E-9347-5924384195F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7848" name="BC$K$23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BBBE6A9-A7ED-4D2C-967C-121BF7A5FC3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7846" name="BC$K$23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CBE8F5A-B90B-4181-BF59-EAC10D7EED2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7844" name="BC$K$23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2307711-0BED-4A95-AD39-A6932068ECE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7842" name="BC$K$23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5076366-4F9F-4708-8CD5-875EC2D90AD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7840" name="BC$K$23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5B82583-425C-4E03-839A-9C229832EE6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7838" name="BC$K$23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92E9252-359A-4B55-9E1F-B65EDDBE1F9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7836" name="BC$K$23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47003C3-1D84-4778-9403-5880728A944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7834" name="BC$K$23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5D68058-2A92-4A71-AB92-A763700154D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7832" name="BC$K$23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21DCC37-0662-4442-AB75-B5A8E205AFC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7830" name="BC$K$23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5CF90EA-7DBF-42C9-A90F-0C6EC7ADD96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7828" name="BC$K$23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F1D2FC3-32DF-4128-8A68-CE278630EBA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7826" name="BC$K$23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385C21B-F407-4C93-AC78-5875C35DE2C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824" name="BC$K$233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E4EE023-3499-4356-BD25-8D4D8A9C680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825" name="BC$K$233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5D5E638-60CC-4B1D-A758-DEEAF2CABE6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7827" name="BC$K$233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4F95CCD-26FD-48B8-B5C1-45B2F5E5597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7829" name="BC$K$233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37C7F0D-198D-4967-9101-465A4ABDA74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7831" name="BC$K$233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8F799044-6FA7-4EE9-95BE-1172521FA01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7833" name="BC$K$233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5052A7C-FB9F-49ED-B5C2-181F367BD7F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7835" name="BC$K$233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84D60AD-B1FC-4839-AA21-46BF13EDF88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7837" name="BC$K$233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8D009C5-51F8-4945-BDE8-2F4B8055B3A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7839" name="BC$K$233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9D57AB6-E38F-4EFD-A8F9-C04BCD170D0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7841" name="BC$K$233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6833F28-7F27-4266-A75E-0E26DEE6548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7843" name="BC$K$233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63FF7E5-B6E2-46F3-BF49-444B46606BF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7845" name="BC$K$233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9049CD7-71F5-4D26-818E-9037E861B94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7847" name="BC$K$233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8F94ABA-15E0-410D-A50B-FA212C6C513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7849" name="BC$K$233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14CF108-4382-4AA0-A65E-224FDC09A8A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7851" name="BC$K$233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4D4C4AA-1223-4522-B48C-CFDA8434532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7853" name="BC$K$233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9B8A095-6F33-46D6-8932-66AA27983BD7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7855" name="BC$K$233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C40C909-CAEA-4A02-A50F-67D70DEB1B81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7857" name="BC$K$233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5664D84-93AE-4BE1-BF15-C0ABF4905CF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7859" name="BC$K$233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3F65195-9272-4C99-B917-4367AEEDB178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7861" name="BC$K$233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9473237-64BE-48F9-915D-3BDC61DEFCF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7863" name="BC$K$233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CF07B7F-59E6-4776-9201-7AE7786EEB26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7865" name="BC$K$233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0FE65B4-51A2-49A9-829B-C36147BFB023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7867" name="BC$K$233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C75DAB7-B3F2-41CE-9E35-C24BB3C5FE9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7869" name="BC$K$233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7D5A02F-A092-4BFC-9EAC-0546A7D2735D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871" name="BC$K$233#BR24">
                                      <a:extLst>
                                        <a:ext uri="{FF2B5EF4-FFF2-40B4-BE49-F238E27FC236}">
                                          <a16:creationId xmlns:a16="http://schemas.microsoft.com/office/drawing/2014/main" id="{9C5827C2-B084-4FC5-83D4-76B6211F11D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873" name="BC$K$233#BR25">
                                    <a:extLst>
                                      <a:ext uri="{FF2B5EF4-FFF2-40B4-BE49-F238E27FC236}">
                                        <a16:creationId xmlns:a16="http://schemas.microsoft.com/office/drawing/2014/main" id="{C4466E86-3A90-4C92-AB9F-20BE388112B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875" name="BC$K$233#BR26">
                                  <a:extLst>
                                    <a:ext uri="{FF2B5EF4-FFF2-40B4-BE49-F238E27FC236}">
                                      <a16:creationId xmlns:a16="http://schemas.microsoft.com/office/drawing/2014/main" id="{3FAA703D-EDE5-4B7D-8315-93FEAFC83EF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877" name="BC$K$233#BR27">
                                <a:extLst>
                                  <a:ext uri="{FF2B5EF4-FFF2-40B4-BE49-F238E27FC236}">
                                    <a16:creationId xmlns:a16="http://schemas.microsoft.com/office/drawing/2014/main" id="{38B1354C-D68B-4917-99D8-35153DD4CC2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879" name="BC$K$233#BR28">
                              <a:extLst>
                                <a:ext uri="{FF2B5EF4-FFF2-40B4-BE49-F238E27FC236}">
                                  <a16:creationId xmlns:a16="http://schemas.microsoft.com/office/drawing/2014/main" id="{44E38755-A486-475A-85E1-E4730E89B05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7881" name="BC$K$233#BR29">
                            <a:extLst>
                              <a:ext uri="{FF2B5EF4-FFF2-40B4-BE49-F238E27FC236}">
                                <a16:creationId xmlns:a16="http://schemas.microsoft.com/office/drawing/2014/main" id="{F4F1D5E0-FCC1-4B56-8E8D-2EDA76D877D7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7883" name="BC$K$233#BR30">
                          <a:extLst>
                            <a:ext uri="{FF2B5EF4-FFF2-40B4-BE49-F238E27FC236}">
                              <a16:creationId xmlns:a16="http://schemas.microsoft.com/office/drawing/2014/main" id="{8B3A60F6-7CAE-4900-924E-2AF3FEA9266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7885" name="BC$K$233#BR31">
                        <a:extLst>
                          <a:ext uri="{FF2B5EF4-FFF2-40B4-BE49-F238E27FC236}">
                            <a16:creationId xmlns:a16="http://schemas.microsoft.com/office/drawing/2014/main" id="{3B8A1FDC-6668-417E-BF9E-1FB9A169927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7887" name="BC$K$233#BR32">
                      <a:extLst>
                        <a:ext uri="{FF2B5EF4-FFF2-40B4-BE49-F238E27FC236}">
                          <a16:creationId xmlns:a16="http://schemas.microsoft.com/office/drawing/2014/main" id="{D308A343-1D77-4450-AA9B-245EEC4DE48F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7889" name="BC$K$233#BR33">
                    <a:extLst>
                      <a:ext uri="{FF2B5EF4-FFF2-40B4-BE49-F238E27FC236}">
                        <a16:creationId xmlns:a16="http://schemas.microsoft.com/office/drawing/2014/main" id="{08ED225D-E9BF-4D74-959F-2E901359295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7891" name="BC$K$233#BR34">
                  <a:extLst>
                    <a:ext uri="{FF2B5EF4-FFF2-40B4-BE49-F238E27FC236}">
                      <a16:creationId xmlns:a16="http://schemas.microsoft.com/office/drawing/2014/main" id="{4BC6B056-D516-4C2E-A5F7-C0BDCB2C2CB4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7893" name="BC$K$233#BR35">
                <a:extLst>
                  <a:ext uri="{FF2B5EF4-FFF2-40B4-BE49-F238E27FC236}">
                    <a16:creationId xmlns:a16="http://schemas.microsoft.com/office/drawing/2014/main" id="{0D73C6A5-C685-46A9-9543-EB393061F3EA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7895" name="BC$K$233#BR36">
              <a:extLst>
                <a:ext uri="{FF2B5EF4-FFF2-40B4-BE49-F238E27FC236}">
                  <a16:creationId xmlns:a16="http://schemas.microsoft.com/office/drawing/2014/main" id="{57593D81-B4AD-4ECD-AD8B-BCD52A7F2C7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897" name="BC$K$233#BR37">
            <a:extLst>
              <a:ext uri="{FF2B5EF4-FFF2-40B4-BE49-F238E27FC236}">
                <a16:creationId xmlns:a16="http://schemas.microsoft.com/office/drawing/2014/main" id="{875381DE-ABC8-47E9-B3F9-8DDA3B82BE5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239</xdr:row>
      <xdr:rowOff>0</xdr:rowOff>
    </xdr:from>
    <xdr:to>
      <xdr:col>27</xdr:col>
      <xdr:colOff>200025</xdr:colOff>
      <xdr:row>241</xdr:row>
      <xdr:rowOff>0</xdr:rowOff>
    </xdr:to>
    <xdr:grpSp>
      <xdr:nvGrpSpPr>
        <xdr:cNvPr id="7973" name="BC$Y$233#GR">
          <a:extLst>
            <a:ext uri="{FF2B5EF4-FFF2-40B4-BE49-F238E27FC236}">
              <a16:creationId xmlns:a16="http://schemas.microsoft.com/office/drawing/2014/main" id="{8042ECEE-D1E3-4810-AE00-E1D05FB48D2B}"/>
            </a:ext>
          </a:extLst>
        </xdr:cNvPr>
        <xdr:cNvGrpSpPr/>
      </xdr:nvGrpSpPr>
      <xdr:grpSpPr>
        <a:xfrm>
          <a:off x="5781675" y="45434250"/>
          <a:ext cx="381000" cy="381000"/>
          <a:chOff x="0" y="0"/>
          <a:chExt cx="381000" cy="381000"/>
        </a:xfrm>
      </xdr:grpSpPr>
      <xdr:grpSp>
        <xdr:nvGrpSpPr>
          <xdr:cNvPr id="7971" name="BC$Y$233#GR">
            <a:extLst>
              <a:ext uri="{FF2B5EF4-FFF2-40B4-BE49-F238E27FC236}">
                <a16:creationId xmlns:a16="http://schemas.microsoft.com/office/drawing/2014/main" id="{0A5440ED-4B69-4C9E-9529-3D84DC9E86B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7969" name="BC$Y$233#GR">
              <a:extLst>
                <a:ext uri="{FF2B5EF4-FFF2-40B4-BE49-F238E27FC236}">
                  <a16:creationId xmlns:a16="http://schemas.microsoft.com/office/drawing/2014/main" id="{57E6500B-AC29-4AF4-AC60-66EBB42F32E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7967" name="BC$Y$233#GR">
                <a:extLst>
                  <a:ext uri="{FF2B5EF4-FFF2-40B4-BE49-F238E27FC236}">
                    <a16:creationId xmlns:a16="http://schemas.microsoft.com/office/drawing/2014/main" id="{8DD57E0C-0F01-4E84-A01E-E1ED30B246D6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7965" name="BC$Y$233#GR">
                  <a:extLst>
                    <a:ext uri="{FF2B5EF4-FFF2-40B4-BE49-F238E27FC236}">
                      <a16:creationId xmlns:a16="http://schemas.microsoft.com/office/drawing/2014/main" id="{69BD5F58-A919-4BE2-8168-FBAE68CC497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7963" name="BC$Y$233#GR">
                    <a:extLst>
                      <a:ext uri="{FF2B5EF4-FFF2-40B4-BE49-F238E27FC236}">
                        <a16:creationId xmlns:a16="http://schemas.microsoft.com/office/drawing/2014/main" id="{D8AA9ED8-E230-4909-BDDC-BBFA492E9F5E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7961" name="BC$Y$233#GR">
                      <a:extLst>
                        <a:ext uri="{FF2B5EF4-FFF2-40B4-BE49-F238E27FC236}">
                          <a16:creationId xmlns:a16="http://schemas.microsoft.com/office/drawing/2014/main" id="{D817B9A6-8DAB-4FEA-B279-2C4C629CB46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7959" name="BC$Y$233#GR">
                        <a:extLst>
                          <a:ext uri="{FF2B5EF4-FFF2-40B4-BE49-F238E27FC236}">
                            <a16:creationId xmlns:a16="http://schemas.microsoft.com/office/drawing/2014/main" id="{A4C185DF-7E09-4861-B691-B39F1AAA50F1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7957" name="BC$Y$233#GR">
                          <a:extLst>
                            <a:ext uri="{FF2B5EF4-FFF2-40B4-BE49-F238E27FC236}">
                              <a16:creationId xmlns:a16="http://schemas.microsoft.com/office/drawing/2014/main" id="{17CF6175-CC73-48BE-A5CA-B20D68C7D56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7955" name="BC$Y$233#GR">
                            <a:extLst>
                              <a:ext uri="{FF2B5EF4-FFF2-40B4-BE49-F238E27FC236}">
                                <a16:creationId xmlns:a16="http://schemas.microsoft.com/office/drawing/2014/main" id="{75D896B5-0126-40D5-915A-2ADF77FD453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7953" name="BC$Y$233#GR">
                              <a:extLst>
                                <a:ext uri="{FF2B5EF4-FFF2-40B4-BE49-F238E27FC236}">
                                  <a16:creationId xmlns:a16="http://schemas.microsoft.com/office/drawing/2014/main" id="{B6A6951C-BB33-4938-8060-6E1D862D169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7951" name="BC$Y$233#GR">
                                <a:extLst>
                                  <a:ext uri="{FF2B5EF4-FFF2-40B4-BE49-F238E27FC236}">
                                    <a16:creationId xmlns:a16="http://schemas.microsoft.com/office/drawing/2014/main" id="{4C52B6CD-957D-4B75-A704-8530290E0E82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7949" name="BC$Y$233#GR">
                                  <a:extLst>
                                    <a:ext uri="{FF2B5EF4-FFF2-40B4-BE49-F238E27FC236}">
                                      <a16:creationId xmlns:a16="http://schemas.microsoft.com/office/drawing/2014/main" id="{C96414B9-1C13-47EE-89A0-64C382EADDB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7947" name="BC$Y$233#GR">
                                    <a:extLst>
                                      <a:ext uri="{FF2B5EF4-FFF2-40B4-BE49-F238E27FC236}">
                                        <a16:creationId xmlns:a16="http://schemas.microsoft.com/office/drawing/2014/main" id="{EC8D9E60-79A3-494E-B92D-091EC905F351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7945" name="BC$Y$233#GR">
                                      <a:extLst>
                                        <a:ext uri="{FF2B5EF4-FFF2-40B4-BE49-F238E27FC236}">
                                          <a16:creationId xmlns:a16="http://schemas.microsoft.com/office/drawing/2014/main" id="{B5A3AA9F-5120-46B2-9C60-A61F758D72BD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7943" name="BC$Y$23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C6F0810-9874-4477-AC5C-75AA43FC89ED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7941" name="BC$Y$23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43B95AE-324F-4FD5-BA8F-4CEB07BA0D2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7939" name="BC$Y$23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06BDDE3-BB0B-4D7C-AEE7-1C7D5A67FEF2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7937" name="BC$Y$23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22E319E-53E9-4116-A898-8E98891ACA5C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7935" name="BC$Y$23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6DD8E8A-FF58-48AE-AF1B-49739A9327BB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7933" name="BC$Y$23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5B35D1E-5BEB-4CF2-9241-7E9DC4504A3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7931" name="BC$Y$23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503CB80-DF3E-449D-B6F1-0AC4160395C7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7929" name="BC$Y$23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719873B-2BD6-46D8-B323-41D4A9CE5C9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7927" name="BC$Y$23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1DC7C11-BD3B-4BDB-B8B1-71FEC2A55F8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7925" name="BC$Y$23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76C434E-2465-4899-B0E4-7A4E16EFACE9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7923" name="BC$Y$23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6FB69C1-E8C8-426E-82B1-820621615E0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7921" name="BC$Y$23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B5A0C05-3E1C-4DB4-B866-C62B0D95356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7919" name="BC$Y$23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3F793F8-2DAA-48A9-B994-88DCD8823DF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7917" name="BC$Y$23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68032F7-94BD-4CAB-B22B-E0CD9A8DE0C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7915" name="BC$Y$23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8DAA56E-027F-4CF0-8CD1-40746ADBF74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7913" name="BC$Y$23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03E91B9-B628-4D5F-8B19-F2ECE2B9BD1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7911" name="BC$Y$23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98EC008-792E-4E73-BCB7-ADA266EECCE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7909" name="BC$Y$23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BBE15AC-1FAE-4AB2-A4F6-8155DDBFFFB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7907" name="BC$Y$23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E0ADD38-3A29-4802-B29F-81B63930E95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7905" name="BC$Y$23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A9AD806-B310-4022-9CDD-780A794FB85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7903" name="BC$Y$23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559A530-2F2B-48A6-9F60-DE76EB02FCE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7901" name="BC$Y$23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CE7E10E-C181-4698-9367-5F86F872487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899" name="BC$Y$233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CFFEDB2-5E14-405D-924C-63B8CD3B3CD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900" name="BC$Y$233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54CBCB2-0E6D-4085-9C86-D24E01BC1E4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7902" name="BC$Y$233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202B335-BA52-4D6E-858B-69C7B8CE05C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7904" name="BC$Y$233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FEC39C2-E967-49DD-A230-C49D0DA26C3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7906" name="BC$Y$233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025B7C8-4975-4A1A-8F19-88F1FC63FF4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7908" name="BC$Y$233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419E6F3-97FD-45A3-91BD-C4CA9F3AEFA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7910" name="BC$Y$233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501AD7C-91FD-4E61-B26A-D31C3E2374A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7912" name="BC$Y$233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0D4A50A-0F4D-4C0A-8FF1-8DFA793525A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7914" name="BC$Y$233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A23946D-6733-47F4-A211-B2877F5851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7916" name="BC$Y$233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0ABB629-B44E-4F1C-8918-D2F0524067C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7918" name="BC$Y$233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7FF448E-68A0-4992-A695-E638379C639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7920" name="BC$Y$233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C1D4F71-5D85-44B1-8259-D71D68047D9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7922" name="BC$Y$233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D99CFE6-48B7-449D-9D02-1BC1A063C6E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7924" name="BC$Y$233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66CE64C-0388-4E2C-B05E-A483D8BC49B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7926" name="BC$Y$233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DBE9895-A6A1-4FE0-941B-91B07203851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7928" name="BC$Y$233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3E20C1A-6DE2-4ABF-BF14-8523A0DD4D6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7930" name="BC$Y$233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50EFEE0-5B38-43F8-A509-D9D1EF65F017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7932" name="BC$Y$233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7AF2327-A00F-4740-AB68-1A11E3C7756A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7934" name="BC$Y$233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86C67F9-44F5-4911-B363-F8904D213A2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7936" name="BC$Y$233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F42EB82-FC7B-486B-9257-952B56114625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7938" name="BC$Y$233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2FD2CD4-957E-4951-AE31-9DBDBD2EE147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7940" name="BC$Y$233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B7A7795-011C-4D1E-86E8-E01664DAC7F9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7942" name="BC$Y$233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87B4BDE-E782-475F-A3DB-8B49FD246A26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7944" name="BC$Y$233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C4F4EE2-FAA9-4E49-9C73-D1644CA2060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946" name="BC$Y$233#BR24">
                                      <a:extLst>
                                        <a:ext uri="{FF2B5EF4-FFF2-40B4-BE49-F238E27FC236}">
                                          <a16:creationId xmlns:a16="http://schemas.microsoft.com/office/drawing/2014/main" id="{6AA3BE6A-AB24-4342-94E3-4169B422740D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948" name="BC$Y$233#BR25">
                                    <a:extLst>
                                      <a:ext uri="{FF2B5EF4-FFF2-40B4-BE49-F238E27FC236}">
                                        <a16:creationId xmlns:a16="http://schemas.microsoft.com/office/drawing/2014/main" id="{34F2100A-6C01-42A5-8FD6-FEE9044E4785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950" name="BC$Y$233#BR26">
                                  <a:extLst>
                                    <a:ext uri="{FF2B5EF4-FFF2-40B4-BE49-F238E27FC236}">
                                      <a16:creationId xmlns:a16="http://schemas.microsoft.com/office/drawing/2014/main" id="{50015C4B-DCD0-43A1-8D2D-30DD13F03232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952" name="BC$Y$233#BR27">
                                <a:extLst>
                                  <a:ext uri="{FF2B5EF4-FFF2-40B4-BE49-F238E27FC236}">
                                    <a16:creationId xmlns:a16="http://schemas.microsoft.com/office/drawing/2014/main" id="{0C8BDFBB-3AA4-40DF-B364-68A60C393A7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954" name="BC$Y$233#BR28">
                              <a:extLst>
                                <a:ext uri="{FF2B5EF4-FFF2-40B4-BE49-F238E27FC236}">
                                  <a16:creationId xmlns:a16="http://schemas.microsoft.com/office/drawing/2014/main" id="{5DD2AF45-D1B5-4418-B6E4-DC5244BB9A5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7956" name="BC$Y$233#BR29">
                            <a:extLst>
                              <a:ext uri="{FF2B5EF4-FFF2-40B4-BE49-F238E27FC236}">
                                <a16:creationId xmlns:a16="http://schemas.microsoft.com/office/drawing/2014/main" id="{A8FFFEB0-28A1-467D-8F23-1DA36991A3E4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7958" name="BC$Y$233#BR30">
                          <a:extLst>
                            <a:ext uri="{FF2B5EF4-FFF2-40B4-BE49-F238E27FC236}">
                              <a16:creationId xmlns:a16="http://schemas.microsoft.com/office/drawing/2014/main" id="{47E40268-DCF9-4E83-8E82-FCCEB4B9539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7960" name="BC$Y$233#BR31">
                        <a:extLst>
                          <a:ext uri="{FF2B5EF4-FFF2-40B4-BE49-F238E27FC236}">
                            <a16:creationId xmlns:a16="http://schemas.microsoft.com/office/drawing/2014/main" id="{3B335878-6482-40E4-8B65-01B8D591E36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7962" name="BC$Y$233#BR32">
                      <a:extLst>
                        <a:ext uri="{FF2B5EF4-FFF2-40B4-BE49-F238E27FC236}">
                          <a16:creationId xmlns:a16="http://schemas.microsoft.com/office/drawing/2014/main" id="{9A6FE866-4FB7-4EF4-B272-6EAF72C0293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7964" name="BC$Y$233#BR33">
                    <a:extLst>
                      <a:ext uri="{FF2B5EF4-FFF2-40B4-BE49-F238E27FC236}">
                        <a16:creationId xmlns:a16="http://schemas.microsoft.com/office/drawing/2014/main" id="{7F71D6E1-B078-4B50-B0A4-031CC320B5F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7966" name="BC$Y$233#BR34">
                  <a:extLst>
                    <a:ext uri="{FF2B5EF4-FFF2-40B4-BE49-F238E27FC236}">
                      <a16:creationId xmlns:a16="http://schemas.microsoft.com/office/drawing/2014/main" id="{91B0013B-9EE5-4F99-9388-105FBB541AF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7968" name="BC$Y$233#BR35">
                <a:extLst>
                  <a:ext uri="{FF2B5EF4-FFF2-40B4-BE49-F238E27FC236}">
                    <a16:creationId xmlns:a16="http://schemas.microsoft.com/office/drawing/2014/main" id="{A2C15CEB-A483-4E3C-8546-88A47161DC7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7970" name="BC$Y$233#BR36">
              <a:extLst>
                <a:ext uri="{FF2B5EF4-FFF2-40B4-BE49-F238E27FC236}">
                  <a16:creationId xmlns:a16="http://schemas.microsoft.com/office/drawing/2014/main" id="{C5E2A33E-14FA-4901-8C61-49512B9C722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972" name="BC$Y$233#BR37">
            <a:extLst>
              <a:ext uri="{FF2B5EF4-FFF2-40B4-BE49-F238E27FC236}">
                <a16:creationId xmlns:a16="http://schemas.microsoft.com/office/drawing/2014/main" id="{3A545E0C-603D-4880-BC41-B84C9762353F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250</xdr:row>
      <xdr:rowOff>9525</xdr:rowOff>
    </xdr:from>
    <xdr:to>
      <xdr:col>13</xdr:col>
      <xdr:colOff>209550</xdr:colOff>
      <xdr:row>252</xdr:row>
      <xdr:rowOff>9525</xdr:rowOff>
    </xdr:to>
    <xdr:grpSp>
      <xdr:nvGrpSpPr>
        <xdr:cNvPr id="8048" name="BC$K$244#GR">
          <a:extLst>
            <a:ext uri="{FF2B5EF4-FFF2-40B4-BE49-F238E27FC236}">
              <a16:creationId xmlns:a16="http://schemas.microsoft.com/office/drawing/2014/main" id="{6FA562F8-AB98-4320-B319-05E43634B53C}"/>
            </a:ext>
          </a:extLst>
        </xdr:cNvPr>
        <xdr:cNvGrpSpPr/>
      </xdr:nvGrpSpPr>
      <xdr:grpSpPr>
        <a:xfrm>
          <a:off x="2676525" y="47539275"/>
          <a:ext cx="381000" cy="381000"/>
          <a:chOff x="0" y="0"/>
          <a:chExt cx="381000" cy="381000"/>
        </a:xfrm>
      </xdr:grpSpPr>
      <xdr:grpSp>
        <xdr:nvGrpSpPr>
          <xdr:cNvPr id="8046" name="BC$K$244#GR">
            <a:extLst>
              <a:ext uri="{FF2B5EF4-FFF2-40B4-BE49-F238E27FC236}">
                <a16:creationId xmlns:a16="http://schemas.microsoft.com/office/drawing/2014/main" id="{E212DD22-7860-44D5-A358-12ACC1479C1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044" name="BC$K$244#GR">
              <a:extLst>
                <a:ext uri="{FF2B5EF4-FFF2-40B4-BE49-F238E27FC236}">
                  <a16:creationId xmlns:a16="http://schemas.microsoft.com/office/drawing/2014/main" id="{BECABA57-0A49-477D-8FD9-96392213599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042" name="BC$K$244#GR">
                <a:extLst>
                  <a:ext uri="{FF2B5EF4-FFF2-40B4-BE49-F238E27FC236}">
                    <a16:creationId xmlns:a16="http://schemas.microsoft.com/office/drawing/2014/main" id="{679E3D65-1D85-4336-AF44-614020EE1AEF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040" name="BC$K$244#GR">
                  <a:extLst>
                    <a:ext uri="{FF2B5EF4-FFF2-40B4-BE49-F238E27FC236}">
                      <a16:creationId xmlns:a16="http://schemas.microsoft.com/office/drawing/2014/main" id="{D2AE0DA8-8ECB-4061-910B-DE59A7C611D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038" name="BC$K$244#GR">
                    <a:extLst>
                      <a:ext uri="{FF2B5EF4-FFF2-40B4-BE49-F238E27FC236}">
                        <a16:creationId xmlns:a16="http://schemas.microsoft.com/office/drawing/2014/main" id="{122E4CE2-5710-4A7D-BCA4-2328FEA81C0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036" name="BC$K$244#GR">
                      <a:extLst>
                        <a:ext uri="{FF2B5EF4-FFF2-40B4-BE49-F238E27FC236}">
                          <a16:creationId xmlns:a16="http://schemas.microsoft.com/office/drawing/2014/main" id="{DF2429E5-1910-47B4-827C-D340AD45D321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034" name="BC$K$244#GR">
                        <a:extLst>
                          <a:ext uri="{FF2B5EF4-FFF2-40B4-BE49-F238E27FC236}">
                            <a16:creationId xmlns:a16="http://schemas.microsoft.com/office/drawing/2014/main" id="{5384F43F-239B-4556-9962-69B92A55DAB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032" name="BC$K$244#GR">
                          <a:extLst>
                            <a:ext uri="{FF2B5EF4-FFF2-40B4-BE49-F238E27FC236}">
                              <a16:creationId xmlns:a16="http://schemas.microsoft.com/office/drawing/2014/main" id="{7CFEC320-67F0-4EAD-BF27-DE3A9B1FD58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030" name="BC$K$244#GR">
                            <a:extLst>
                              <a:ext uri="{FF2B5EF4-FFF2-40B4-BE49-F238E27FC236}">
                                <a16:creationId xmlns:a16="http://schemas.microsoft.com/office/drawing/2014/main" id="{77D6B9B8-7C0C-4D78-9E38-856EBD6387B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028" name="BC$K$244#GR">
                              <a:extLst>
                                <a:ext uri="{FF2B5EF4-FFF2-40B4-BE49-F238E27FC236}">
                                  <a16:creationId xmlns:a16="http://schemas.microsoft.com/office/drawing/2014/main" id="{84D9E4DC-8E90-4B95-9813-4CAD778D7A81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026" name="BC$K$244#GR">
                                <a:extLst>
                                  <a:ext uri="{FF2B5EF4-FFF2-40B4-BE49-F238E27FC236}">
                                    <a16:creationId xmlns:a16="http://schemas.microsoft.com/office/drawing/2014/main" id="{282BA11F-2E74-4D63-BABE-1A25342868A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024" name="BC$K$244#GR">
                                  <a:extLst>
                                    <a:ext uri="{FF2B5EF4-FFF2-40B4-BE49-F238E27FC236}">
                                      <a16:creationId xmlns:a16="http://schemas.microsoft.com/office/drawing/2014/main" id="{71D97CD2-F44A-4CB4-91A4-CAE8D59EC65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022" name="BC$K$244#GR">
                                    <a:extLst>
                                      <a:ext uri="{FF2B5EF4-FFF2-40B4-BE49-F238E27FC236}">
                                        <a16:creationId xmlns:a16="http://schemas.microsoft.com/office/drawing/2014/main" id="{8591F717-B140-4AA1-A84A-2C794D4D70D1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020" name="BC$K$244#GR">
                                      <a:extLst>
                                        <a:ext uri="{FF2B5EF4-FFF2-40B4-BE49-F238E27FC236}">
                                          <a16:creationId xmlns:a16="http://schemas.microsoft.com/office/drawing/2014/main" id="{0D63D087-A271-48F6-BFAF-B8758453756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018" name="BC$K$24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040468F-556A-4262-8A30-BC9CFC8293E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016" name="BC$K$24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C1B4690-92D6-4FB9-B39B-E29C7C424C8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014" name="BC$K$24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2E32B90-8849-40AC-A4AD-6DCDFC81E20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012" name="BC$K$24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7003F8B-E2B2-4229-9F00-E5ED1825C6F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010" name="BC$K$24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63DCDE0-3A6A-4F0A-AF80-9DEE37F4B66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008" name="BC$K$24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5422A2D-1E6C-4941-99F7-81F0AF20D2CF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006" name="BC$K$24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2A44194-9889-4FF5-B7EC-8F41CCE49C0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004" name="BC$K$24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2348127-B352-4DA5-86ED-97FDDE4B0EC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002" name="BC$K$24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2E50898-B4CE-4FC9-BFAD-5224AF021DB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000" name="BC$K$24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310DA92-6B0B-4F01-B5F3-1A954C9D81D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7998" name="BC$K$24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D253407-3AB3-48BE-92D6-F34210441FF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7996" name="BC$K$24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43AE8EC-A23C-4E02-A35D-EB20329B0FB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7994" name="BC$K$24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C86B21F-A412-4280-9B00-5C613A0C08E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7992" name="BC$K$24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507A412-D708-44B6-976B-B72ECEB0E76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7990" name="BC$K$24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B946D3B-398D-4B09-BBD3-962E53A66C5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7988" name="BC$K$24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2AC2247-6556-408C-B573-B0FB3345A39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7986" name="BC$K$24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0C4DAD2-32A9-4C5E-9E90-EF2909F9CA7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7984" name="BC$K$24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EECC73E-8A8C-4033-A4A4-796FD6334B2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7982" name="BC$K$24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C1CEAA7-15EB-4077-80E7-38E6312270C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7980" name="BC$K$24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998FFE6-7D35-4491-99C4-7D62E4C2595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7978" name="BC$K$24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B965915-C8DE-4858-B76D-50A22CB8788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7976" name="BC$K$24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2FE2FA7-19FC-4614-B8A9-668BAAE016A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974" name="BC$K$244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C4546DC-911B-48FD-B899-0185BD9CF36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975" name="BC$K$244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5B27B54-8DB8-4AA3-8FFC-6B3D6C9E972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7977" name="BC$K$244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8F62153-2539-4F31-A708-6A31AB48455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7979" name="BC$K$244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1E1E2BA-F77B-4741-B40C-028C68A678C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7981" name="BC$K$244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01586CE-5E1A-4ACF-A741-1BDAE65130D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7983" name="BC$K$244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22C63DA-EBA5-4A88-B47D-EEB5F354198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7985" name="BC$K$244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429E5B9-B78F-4A1D-9998-403C760EC6B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7987" name="BC$K$244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6A2C483-8065-41B8-A3A3-68A2AFE6D30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7989" name="BC$K$244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6DBABC8-8EAB-425C-9D42-702D25CB8B8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7991" name="BC$K$244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3468D69-2788-469E-B02D-7C6515947F2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7993" name="BC$K$244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B8DDC56-A688-4CD5-94BC-C64DFF3D716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7995" name="BC$K$244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3B346EF-A4EC-40AB-8376-25347229BEF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7997" name="BC$K$244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37A2FD7-8AC2-4D6B-AA7A-C6B1B47A2E0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7999" name="BC$K$244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97D11CC-7959-4C9D-843A-908E384DC08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001" name="BC$K$244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942A9F6-6B12-4050-BC9F-5C646B504A9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003" name="BC$K$244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0463713-843C-4AD8-A8D0-80BE4DB3BB9B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005" name="BC$K$244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6D3576E-F481-4DB1-9D6D-F7412FE7707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007" name="BC$K$244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676F044-E526-4909-A2EA-8B062826739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009" name="BC$K$244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951F40F-7C69-42A2-AD6C-934B64845CF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011" name="BC$K$244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57DF4A3-D6EC-49CC-B100-4C961559646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013" name="BC$K$244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94F3A01-4F3E-4188-BDF6-C0ADBEC3F579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015" name="BC$K$244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96B6269-8BF4-469C-80B4-B1651409330C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017" name="BC$K$244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E4ECC2B-DE1F-4644-BC02-029031545BD7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019" name="BC$K$244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9755A26-8516-4463-8FB6-4D83759C13A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021" name="BC$K$244#BR24">
                                      <a:extLst>
                                        <a:ext uri="{FF2B5EF4-FFF2-40B4-BE49-F238E27FC236}">
                                          <a16:creationId xmlns:a16="http://schemas.microsoft.com/office/drawing/2014/main" id="{E89305A3-8008-49C0-BEBC-F7BA84E3571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023" name="BC$K$244#BR25">
                                    <a:extLst>
                                      <a:ext uri="{FF2B5EF4-FFF2-40B4-BE49-F238E27FC236}">
                                        <a16:creationId xmlns:a16="http://schemas.microsoft.com/office/drawing/2014/main" id="{7D3E8C1E-6609-41E2-BE0F-BFC31B2F23A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025" name="BC$K$244#BR26">
                                  <a:extLst>
                                    <a:ext uri="{FF2B5EF4-FFF2-40B4-BE49-F238E27FC236}">
                                      <a16:creationId xmlns:a16="http://schemas.microsoft.com/office/drawing/2014/main" id="{81341272-3D12-466A-8D85-FA181F9AB9C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027" name="BC$K$244#BR27">
                                <a:extLst>
                                  <a:ext uri="{FF2B5EF4-FFF2-40B4-BE49-F238E27FC236}">
                                    <a16:creationId xmlns:a16="http://schemas.microsoft.com/office/drawing/2014/main" id="{ED413283-E608-40AF-B52C-166320D90063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029" name="BC$K$244#BR28">
                              <a:extLst>
                                <a:ext uri="{FF2B5EF4-FFF2-40B4-BE49-F238E27FC236}">
                                  <a16:creationId xmlns:a16="http://schemas.microsoft.com/office/drawing/2014/main" id="{30B74D86-EFC4-42E6-AC71-5230B0E6DF3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031" name="BC$K$244#BR29">
                            <a:extLst>
                              <a:ext uri="{FF2B5EF4-FFF2-40B4-BE49-F238E27FC236}">
                                <a16:creationId xmlns:a16="http://schemas.microsoft.com/office/drawing/2014/main" id="{F3D5120E-D9A1-4858-B91B-1190302FDC6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033" name="BC$K$244#BR30">
                          <a:extLst>
                            <a:ext uri="{FF2B5EF4-FFF2-40B4-BE49-F238E27FC236}">
                              <a16:creationId xmlns:a16="http://schemas.microsoft.com/office/drawing/2014/main" id="{F01F0421-42F0-4E62-9F3E-9F1DB987B66E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035" name="BC$K$244#BR31">
                        <a:extLst>
                          <a:ext uri="{FF2B5EF4-FFF2-40B4-BE49-F238E27FC236}">
                            <a16:creationId xmlns:a16="http://schemas.microsoft.com/office/drawing/2014/main" id="{0114911A-8482-480A-8225-4B83D39E827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037" name="BC$K$244#BR32">
                      <a:extLst>
                        <a:ext uri="{FF2B5EF4-FFF2-40B4-BE49-F238E27FC236}">
                          <a16:creationId xmlns:a16="http://schemas.microsoft.com/office/drawing/2014/main" id="{7F229080-6EDA-47C3-8B39-D14B93FC8AB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039" name="BC$K$244#BR33">
                    <a:extLst>
                      <a:ext uri="{FF2B5EF4-FFF2-40B4-BE49-F238E27FC236}">
                        <a16:creationId xmlns:a16="http://schemas.microsoft.com/office/drawing/2014/main" id="{42972550-5057-4FD1-8B2A-AC4EBFE643DF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041" name="BC$K$244#BR34">
                  <a:extLst>
                    <a:ext uri="{FF2B5EF4-FFF2-40B4-BE49-F238E27FC236}">
                      <a16:creationId xmlns:a16="http://schemas.microsoft.com/office/drawing/2014/main" id="{CBAD2471-3B04-4306-A2AC-637E7139CD37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043" name="BC$K$244#BR35">
                <a:extLst>
                  <a:ext uri="{FF2B5EF4-FFF2-40B4-BE49-F238E27FC236}">
                    <a16:creationId xmlns:a16="http://schemas.microsoft.com/office/drawing/2014/main" id="{6FC60AAC-5648-4DD8-9521-6C2D1360EDB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045" name="BC$K$244#BR36">
              <a:extLst>
                <a:ext uri="{FF2B5EF4-FFF2-40B4-BE49-F238E27FC236}">
                  <a16:creationId xmlns:a16="http://schemas.microsoft.com/office/drawing/2014/main" id="{3A53994D-0FA3-42A4-A9D4-CA013496C2F8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047" name="BC$K$244#BR37">
            <a:extLst>
              <a:ext uri="{FF2B5EF4-FFF2-40B4-BE49-F238E27FC236}">
                <a16:creationId xmlns:a16="http://schemas.microsoft.com/office/drawing/2014/main" id="{26DDE432-C138-4A33-8937-C83211AC8FB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250</xdr:row>
      <xdr:rowOff>19050</xdr:rowOff>
    </xdr:from>
    <xdr:to>
      <xdr:col>27</xdr:col>
      <xdr:colOff>190500</xdr:colOff>
      <xdr:row>252</xdr:row>
      <xdr:rowOff>19050</xdr:rowOff>
    </xdr:to>
    <xdr:grpSp>
      <xdr:nvGrpSpPr>
        <xdr:cNvPr id="8123" name="BC$Y$244#GR">
          <a:extLst>
            <a:ext uri="{FF2B5EF4-FFF2-40B4-BE49-F238E27FC236}">
              <a16:creationId xmlns:a16="http://schemas.microsoft.com/office/drawing/2014/main" id="{CAA0BE35-0210-4DAC-B490-E8F8A98AE0B9}"/>
            </a:ext>
          </a:extLst>
        </xdr:cNvPr>
        <xdr:cNvGrpSpPr/>
      </xdr:nvGrpSpPr>
      <xdr:grpSpPr>
        <a:xfrm>
          <a:off x="5772150" y="47548800"/>
          <a:ext cx="381000" cy="381000"/>
          <a:chOff x="0" y="0"/>
          <a:chExt cx="381000" cy="381000"/>
        </a:xfrm>
      </xdr:grpSpPr>
      <xdr:grpSp>
        <xdr:nvGrpSpPr>
          <xdr:cNvPr id="8121" name="BC$Y$244#GR">
            <a:extLst>
              <a:ext uri="{FF2B5EF4-FFF2-40B4-BE49-F238E27FC236}">
                <a16:creationId xmlns:a16="http://schemas.microsoft.com/office/drawing/2014/main" id="{EE2B9227-5739-4CB8-B83D-19C7070A517A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119" name="BC$Y$244#GR">
              <a:extLst>
                <a:ext uri="{FF2B5EF4-FFF2-40B4-BE49-F238E27FC236}">
                  <a16:creationId xmlns:a16="http://schemas.microsoft.com/office/drawing/2014/main" id="{CB368D86-9C1B-4A4B-B769-D6794C77864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117" name="BC$Y$244#GR">
                <a:extLst>
                  <a:ext uri="{FF2B5EF4-FFF2-40B4-BE49-F238E27FC236}">
                    <a16:creationId xmlns:a16="http://schemas.microsoft.com/office/drawing/2014/main" id="{9407E667-0583-4B5C-8BA1-C326FE406C2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115" name="BC$Y$244#GR">
                  <a:extLst>
                    <a:ext uri="{FF2B5EF4-FFF2-40B4-BE49-F238E27FC236}">
                      <a16:creationId xmlns:a16="http://schemas.microsoft.com/office/drawing/2014/main" id="{395AFD41-004B-49FA-9F80-9F7017F6D34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113" name="BC$Y$244#GR">
                    <a:extLst>
                      <a:ext uri="{FF2B5EF4-FFF2-40B4-BE49-F238E27FC236}">
                        <a16:creationId xmlns:a16="http://schemas.microsoft.com/office/drawing/2014/main" id="{024AA30A-5C20-4F70-8260-6984174BC13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111" name="BC$Y$244#GR">
                      <a:extLst>
                        <a:ext uri="{FF2B5EF4-FFF2-40B4-BE49-F238E27FC236}">
                          <a16:creationId xmlns:a16="http://schemas.microsoft.com/office/drawing/2014/main" id="{55CA9A9C-C76C-4972-8687-1511CDE64CA2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109" name="BC$Y$244#GR">
                        <a:extLst>
                          <a:ext uri="{FF2B5EF4-FFF2-40B4-BE49-F238E27FC236}">
                            <a16:creationId xmlns:a16="http://schemas.microsoft.com/office/drawing/2014/main" id="{C2AFEAE7-CA74-4AB5-BE42-BD7195AA1DBA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107" name="BC$Y$244#GR">
                          <a:extLst>
                            <a:ext uri="{FF2B5EF4-FFF2-40B4-BE49-F238E27FC236}">
                              <a16:creationId xmlns:a16="http://schemas.microsoft.com/office/drawing/2014/main" id="{45D0A112-BEC6-4C74-98F0-7E310A48D7C6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105" name="BC$Y$244#GR">
                            <a:extLst>
                              <a:ext uri="{FF2B5EF4-FFF2-40B4-BE49-F238E27FC236}">
                                <a16:creationId xmlns:a16="http://schemas.microsoft.com/office/drawing/2014/main" id="{809DB3E4-BBCD-4516-808B-45301522AE1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103" name="BC$Y$244#GR">
                              <a:extLst>
                                <a:ext uri="{FF2B5EF4-FFF2-40B4-BE49-F238E27FC236}">
                                  <a16:creationId xmlns:a16="http://schemas.microsoft.com/office/drawing/2014/main" id="{91196511-84FA-4883-9B86-72EC2CAF4AA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101" name="BC$Y$244#GR">
                                <a:extLst>
                                  <a:ext uri="{FF2B5EF4-FFF2-40B4-BE49-F238E27FC236}">
                                    <a16:creationId xmlns:a16="http://schemas.microsoft.com/office/drawing/2014/main" id="{98A97423-0AD3-49D8-9D9D-A828540A7FBD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099" name="BC$Y$244#GR">
                                  <a:extLst>
                                    <a:ext uri="{FF2B5EF4-FFF2-40B4-BE49-F238E27FC236}">
                                      <a16:creationId xmlns:a16="http://schemas.microsoft.com/office/drawing/2014/main" id="{993C7FB3-F6D5-4A09-B20F-3A6836AB14CD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097" name="BC$Y$244#GR">
                                    <a:extLst>
                                      <a:ext uri="{FF2B5EF4-FFF2-40B4-BE49-F238E27FC236}">
                                        <a16:creationId xmlns:a16="http://schemas.microsoft.com/office/drawing/2014/main" id="{D4D2B58D-6EB0-4DF5-9C41-06B4F959EA1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095" name="BC$Y$244#GR">
                                      <a:extLst>
                                        <a:ext uri="{FF2B5EF4-FFF2-40B4-BE49-F238E27FC236}">
                                          <a16:creationId xmlns:a16="http://schemas.microsoft.com/office/drawing/2014/main" id="{20C0AC22-BE67-4642-A495-A6CA35983F0C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093" name="BC$Y$24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9BBA5F5-F9FC-4426-942A-01B39153F1C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091" name="BC$Y$24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E32F127-5E6B-4E30-B3F5-B732F0959E68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089" name="BC$Y$24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2A71DA6-D0FB-4214-AA2A-195A8263D2A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087" name="BC$Y$24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1B38ED6-F071-4BE5-B02D-7DE7CEAC89B6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085" name="BC$Y$24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B399A0A-0F51-434A-924A-EFFCD34F84F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083" name="BC$Y$24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6971EF1-637A-4669-8C38-E3F206D67D2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081" name="BC$Y$24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92ABFFF-547E-4920-B977-554FB33778EC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079" name="BC$Y$24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2B2824C-A3C1-4417-A6DA-0B3F9B40DB5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077" name="BC$Y$24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9E04937-E618-422A-A350-229447F081B5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075" name="BC$Y$24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ACFE6B2-4FE7-4ED5-AA45-BD095A72873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073" name="BC$Y$24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B28D85B-7AA8-46DF-892C-C2D1B1A5020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071" name="BC$Y$24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BB81D23-94DE-4F27-AFBA-89872B345D8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069" name="BC$Y$24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8A38ECA-F3E1-4D25-8BDC-30958D9036C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067" name="BC$Y$24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D4ECAED-64FD-47C2-B1A0-564DE09F25E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065" name="BC$Y$24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DDC642E-1AEF-4124-9E67-737EC6F92BF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063" name="BC$Y$24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C57A68D-1A1C-450C-A1E3-90C97321EDF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061" name="BC$Y$24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97E7CED-5359-4C16-B446-AA1B95EE55E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059" name="BC$Y$24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9BD59A5-1380-4079-A137-D42E32E9A08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057" name="BC$Y$24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BD4F57C-EE12-404A-8DDB-3E9C83F1EB9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055" name="BC$Y$24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3A5E09C-9FBA-46A5-8577-C7146D8F1F5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053" name="BC$Y$24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68A308F-1EAD-45D8-BC10-767023F2D78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051" name="BC$Y$24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2C894CB-2570-4C7B-BF39-EEDC7898127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049" name="BC$Y$244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FB275D5-7E49-4D7D-9005-C6F93D436A9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050" name="BC$Y$244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40AA38B-C3F5-4DDB-B712-6BF70518A5C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052" name="BC$Y$244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009270D-2525-4AA0-8311-34CBB9BA488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054" name="BC$Y$244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AF1AE4F-00A5-4598-80C5-A6132C11F73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056" name="BC$Y$244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969F222-EF93-4F9E-BE25-99A14B8A72B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058" name="BC$Y$244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935AD49-EC8B-4F3E-B4F6-2D4014E60BB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060" name="BC$Y$244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476C66B-FE43-4961-903D-18F2B9033D7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062" name="BC$Y$244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D306607-B59D-41B2-97F8-389D64B9543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064" name="BC$Y$244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08F6AE7-BE1B-4BC6-8A8C-C210B94A508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066" name="BC$Y$244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2E66B17-7F12-4163-9FB1-14DA5C6C2BD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068" name="BC$Y$244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F56AC44-EE74-4B56-B540-325ADE5F215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070" name="BC$Y$244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D11E318-2497-4DCB-A224-A780572735F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072" name="BC$Y$244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6B98C6F-7D6D-4345-960B-6C43D0F932B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074" name="BC$Y$244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208632B-97BA-42A9-B444-23F46290ADD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076" name="BC$Y$244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D5F5BCD-0665-4CCB-919F-76934635125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078" name="BC$Y$244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B4C0E7B-9022-4592-BE58-5B006E66EE19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080" name="BC$Y$244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1D3CB1F-0120-4D70-A73E-DC00D0E1F07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082" name="BC$Y$244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D427CEB-DE63-407B-B236-18A7AFB5219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084" name="BC$Y$244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3245A1B-C72D-4DC3-801F-E2FCD0B6A52D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086" name="BC$Y$244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3193714-CBD6-4F6D-BFE9-F65754ED2B61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088" name="BC$Y$244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AEAF165-A273-4DD4-823B-4B9F85DA9B94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090" name="BC$Y$244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1BE60F6-33F6-401E-83D7-932E6A899E74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092" name="BC$Y$244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48628C3-C4E4-436E-864E-4F56A1028BE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094" name="BC$Y$244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537FF4C-5B0B-4C09-906F-7B70C132BFB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096" name="BC$Y$244#BR24">
                                      <a:extLst>
                                        <a:ext uri="{FF2B5EF4-FFF2-40B4-BE49-F238E27FC236}">
                                          <a16:creationId xmlns:a16="http://schemas.microsoft.com/office/drawing/2014/main" id="{B10394E9-0623-45D8-8CCD-A45C1F58F326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098" name="BC$Y$244#BR25">
                                    <a:extLst>
                                      <a:ext uri="{FF2B5EF4-FFF2-40B4-BE49-F238E27FC236}">
                                        <a16:creationId xmlns:a16="http://schemas.microsoft.com/office/drawing/2014/main" id="{24BDC05A-9EFB-42D3-9445-1694E92FE04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100" name="BC$Y$244#BR26">
                                  <a:extLst>
                                    <a:ext uri="{FF2B5EF4-FFF2-40B4-BE49-F238E27FC236}">
                                      <a16:creationId xmlns:a16="http://schemas.microsoft.com/office/drawing/2014/main" id="{2897C506-B512-4B10-9DDD-0A24BBBFAECB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102" name="BC$Y$244#BR27">
                                <a:extLst>
                                  <a:ext uri="{FF2B5EF4-FFF2-40B4-BE49-F238E27FC236}">
                                    <a16:creationId xmlns:a16="http://schemas.microsoft.com/office/drawing/2014/main" id="{ABFE77B0-AAAF-45DE-8B47-21CAE6CB273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104" name="BC$Y$244#BR28">
                              <a:extLst>
                                <a:ext uri="{FF2B5EF4-FFF2-40B4-BE49-F238E27FC236}">
                                  <a16:creationId xmlns:a16="http://schemas.microsoft.com/office/drawing/2014/main" id="{718D7B15-8AB7-4F59-A464-7D6C7B3E67A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106" name="BC$Y$244#BR29">
                            <a:extLst>
                              <a:ext uri="{FF2B5EF4-FFF2-40B4-BE49-F238E27FC236}">
                                <a16:creationId xmlns:a16="http://schemas.microsoft.com/office/drawing/2014/main" id="{E3306ED3-8035-488C-B51E-06F079B844B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108" name="BC$Y$244#BR30">
                          <a:extLst>
                            <a:ext uri="{FF2B5EF4-FFF2-40B4-BE49-F238E27FC236}">
                              <a16:creationId xmlns:a16="http://schemas.microsoft.com/office/drawing/2014/main" id="{8D5E523D-722E-43B0-B487-3732ACDEB81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110" name="BC$Y$244#BR31">
                        <a:extLst>
                          <a:ext uri="{FF2B5EF4-FFF2-40B4-BE49-F238E27FC236}">
                            <a16:creationId xmlns:a16="http://schemas.microsoft.com/office/drawing/2014/main" id="{E6364DC5-ECC9-4652-86E9-6D7F9B953B0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112" name="BC$Y$244#BR32">
                      <a:extLst>
                        <a:ext uri="{FF2B5EF4-FFF2-40B4-BE49-F238E27FC236}">
                          <a16:creationId xmlns:a16="http://schemas.microsoft.com/office/drawing/2014/main" id="{37B6D31D-8E13-431E-AD82-B9A1B7AFF9D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114" name="BC$Y$244#BR33">
                    <a:extLst>
                      <a:ext uri="{FF2B5EF4-FFF2-40B4-BE49-F238E27FC236}">
                        <a16:creationId xmlns:a16="http://schemas.microsoft.com/office/drawing/2014/main" id="{9B7A6C1A-87BF-4CB1-813C-9F398F86D937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116" name="BC$Y$244#BR34">
                  <a:extLst>
                    <a:ext uri="{FF2B5EF4-FFF2-40B4-BE49-F238E27FC236}">
                      <a16:creationId xmlns:a16="http://schemas.microsoft.com/office/drawing/2014/main" id="{FF1878B9-8780-40EE-84DE-5A3442D51E2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118" name="BC$Y$244#BR35">
                <a:extLst>
                  <a:ext uri="{FF2B5EF4-FFF2-40B4-BE49-F238E27FC236}">
                    <a16:creationId xmlns:a16="http://schemas.microsoft.com/office/drawing/2014/main" id="{B3EA54DA-4874-4FD5-87A8-97F661135AEE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120" name="BC$Y$244#BR36">
              <a:extLst>
                <a:ext uri="{FF2B5EF4-FFF2-40B4-BE49-F238E27FC236}">
                  <a16:creationId xmlns:a16="http://schemas.microsoft.com/office/drawing/2014/main" id="{1357BDAE-C79D-4448-9FED-E1D36A8086D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122" name="BC$Y$244#BR37">
            <a:extLst>
              <a:ext uri="{FF2B5EF4-FFF2-40B4-BE49-F238E27FC236}">
                <a16:creationId xmlns:a16="http://schemas.microsoft.com/office/drawing/2014/main" id="{3D3EEF5E-C667-431F-B038-A05331AB68F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57150</xdr:colOff>
      <xdr:row>261</xdr:row>
      <xdr:rowOff>0</xdr:rowOff>
    </xdr:from>
    <xdr:to>
      <xdr:col>13</xdr:col>
      <xdr:colOff>219075</xdr:colOff>
      <xdr:row>263</xdr:row>
      <xdr:rowOff>0</xdr:rowOff>
    </xdr:to>
    <xdr:grpSp>
      <xdr:nvGrpSpPr>
        <xdr:cNvPr id="8198" name="BC$K$255#GR">
          <a:extLst>
            <a:ext uri="{FF2B5EF4-FFF2-40B4-BE49-F238E27FC236}">
              <a16:creationId xmlns:a16="http://schemas.microsoft.com/office/drawing/2014/main" id="{919D42D6-7BA8-47B5-B6CA-C38CCF1C89D4}"/>
            </a:ext>
          </a:extLst>
        </xdr:cNvPr>
        <xdr:cNvGrpSpPr/>
      </xdr:nvGrpSpPr>
      <xdr:grpSpPr>
        <a:xfrm>
          <a:off x="2686050" y="49625250"/>
          <a:ext cx="381000" cy="381000"/>
          <a:chOff x="0" y="0"/>
          <a:chExt cx="381000" cy="381000"/>
        </a:xfrm>
      </xdr:grpSpPr>
      <xdr:grpSp>
        <xdr:nvGrpSpPr>
          <xdr:cNvPr id="8196" name="BC$K$255#GR">
            <a:extLst>
              <a:ext uri="{FF2B5EF4-FFF2-40B4-BE49-F238E27FC236}">
                <a16:creationId xmlns:a16="http://schemas.microsoft.com/office/drawing/2014/main" id="{484AC138-94C7-4938-915B-F9AE0C2BCC7B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194" name="BC$K$255#GR">
              <a:extLst>
                <a:ext uri="{FF2B5EF4-FFF2-40B4-BE49-F238E27FC236}">
                  <a16:creationId xmlns:a16="http://schemas.microsoft.com/office/drawing/2014/main" id="{F74B88CF-72D7-42CF-B69E-3FA66644C5C4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192" name="BC$K$255#GR">
                <a:extLst>
                  <a:ext uri="{FF2B5EF4-FFF2-40B4-BE49-F238E27FC236}">
                    <a16:creationId xmlns:a16="http://schemas.microsoft.com/office/drawing/2014/main" id="{C344A494-45BC-49AB-B2A0-46F72E3B0BD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190" name="BC$K$255#GR">
                  <a:extLst>
                    <a:ext uri="{FF2B5EF4-FFF2-40B4-BE49-F238E27FC236}">
                      <a16:creationId xmlns:a16="http://schemas.microsoft.com/office/drawing/2014/main" id="{E601D6A0-4BC0-4F63-AA06-CB80B899EF2C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188" name="BC$K$255#GR">
                    <a:extLst>
                      <a:ext uri="{FF2B5EF4-FFF2-40B4-BE49-F238E27FC236}">
                        <a16:creationId xmlns:a16="http://schemas.microsoft.com/office/drawing/2014/main" id="{AE0EE236-9B90-4E90-BA23-39FD549310D6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186" name="BC$K$255#GR">
                      <a:extLst>
                        <a:ext uri="{FF2B5EF4-FFF2-40B4-BE49-F238E27FC236}">
                          <a16:creationId xmlns:a16="http://schemas.microsoft.com/office/drawing/2014/main" id="{92E07275-58E0-42F6-9388-F2DD6F4501F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184" name="BC$K$255#GR">
                        <a:extLst>
                          <a:ext uri="{FF2B5EF4-FFF2-40B4-BE49-F238E27FC236}">
                            <a16:creationId xmlns:a16="http://schemas.microsoft.com/office/drawing/2014/main" id="{B723257D-D8F6-4A37-8A45-9AF9B08D200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182" name="BC$K$255#GR">
                          <a:extLst>
                            <a:ext uri="{FF2B5EF4-FFF2-40B4-BE49-F238E27FC236}">
                              <a16:creationId xmlns:a16="http://schemas.microsoft.com/office/drawing/2014/main" id="{12455112-CC69-458D-908C-339EC545D5ED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180" name="BC$K$255#GR">
                            <a:extLst>
                              <a:ext uri="{FF2B5EF4-FFF2-40B4-BE49-F238E27FC236}">
                                <a16:creationId xmlns:a16="http://schemas.microsoft.com/office/drawing/2014/main" id="{E88196D1-005C-46C9-83B1-E0F13F90B8ED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178" name="BC$K$255#GR">
                              <a:extLst>
                                <a:ext uri="{FF2B5EF4-FFF2-40B4-BE49-F238E27FC236}">
                                  <a16:creationId xmlns:a16="http://schemas.microsoft.com/office/drawing/2014/main" id="{C0462BB1-A759-415E-86B2-6DC012C95D2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176" name="BC$K$255#GR">
                                <a:extLst>
                                  <a:ext uri="{FF2B5EF4-FFF2-40B4-BE49-F238E27FC236}">
                                    <a16:creationId xmlns:a16="http://schemas.microsoft.com/office/drawing/2014/main" id="{DAA3BA04-ABE3-49BA-BCAD-24B96A9664D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174" name="BC$K$255#GR">
                                  <a:extLst>
                                    <a:ext uri="{FF2B5EF4-FFF2-40B4-BE49-F238E27FC236}">
                                      <a16:creationId xmlns:a16="http://schemas.microsoft.com/office/drawing/2014/main" id="{380CF30A-4439-4762-AAEC-FC6BF4A26D5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172" name="BC$K$255#GR">
                                    <a:extLst>
                                      <a:ext uri="{FF2B5EF4-FFF2-40B4-BE49-F238E27FC236}">
                                        <a16:creationId xmlns:a16="http://schemas.microsoft.com/office/drawing/2014/main" id="{46EAA3C2-D4E8-4BB8-AA7F-917FC5EC045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170" name="BC$K$255#GR">
                                      <a:extLst>
                                        <a:ext uri="{FF2B5EF4-FFF2-40B4-BE49-F238E27FC236}">
                                          <a16:creationId xmlns:a16="http://schemas.microsoft.com/office/drawing/2014/main" id="{04FE92A9-62A2-45B0-B392-0E78E8DFF7D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168" name="BC$K$25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9CAD66E-4B6F-4B46-8E19-3F3BFD28E9A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166" name="BC$K$25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B816111-7FEE-4099-AD6B-8B0C0280382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164" name="BC$K$25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3A87355-ABC7-48B0-897E-F931B062AE2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162" name="BC$K$25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B11FFDF-F5B6-46EE-874C-6BF9F139BBEF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160" name="BC$K$25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71F250A-94A2-41D1-BB56-1A06844472A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158" name="BC$K$25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EF448F3-0C1C-409A-90B7-F3083DC6866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156" name="BC$K$25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7014E50-767E-4D8A-BDAC-D23ADC6A451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154" name="BC$K$25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3B18E6B-B1F7-4F35-9BA8-F3E50BF2A70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152" name="BC$K$25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AC65E51-3AEB-4828-B9B7-A3BCB2DDD83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150" name="BC$K$25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BBB44A9-896B-40B1-B884-E84642ED071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148" name="BC$K$25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3F367D9-E5F8-49B4-B1A2-E00655233D5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146" name="BC$K$25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CA4B513-0960-4A0B-BDE9-A69CB15404A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144" name="BC$K$25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9573434-7A73-4067-9A51-C3052C39906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142" name="BC$K$25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E7E672E-A5D3-495C-B2C3-61BD2232FA4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140" name="BC$K$25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0D827A0-9DA1-4B12-80C4-500EE4DFA66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138" name="BC$K$25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C75FB54-5C91-4FEA-95F7-0F28DB0D884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136" name="BC$K$25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5FEA258-4113-442C-8C1E-6822F8AE793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134" name="BC$K$25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DD6EEAC-6FF1-471C-BCCE-F09188F582D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132" name="BC$K$25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A144B54-AED1-48DE-BBB5-56F2B57FFE2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130" name="BC$K$25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E48497A-E5EF-458B-9CE4-979EB1E5E03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128" name="BC$K$25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F3A7E66-6EE9-47F5-AB4F-04369517918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126" name="BC$K$25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DAF2332-3423-453D-8FED-CBAAB8B30F5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124" name="BC$K$255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10A1191-BCBD-457E-BF14-8BF8C342AA9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125" name="BC$K$255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57F02AA-72D1-4E66-8D7B-1AF730D2C3B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127" name="BC$K$255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C92AB36-D43D-43A1-97BA-03749A3D193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129" name="BC$K$255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952E5BA-CFE9-4880-B39D-19E2F5F3DAB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131" name="BC$K$255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91F8EBB-D29F-4288-A7BE-5519E976C9C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133" name="BC$K$255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9438E1F-68FC-44ED-A401-2D7B79F7728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135" name="BC$K$255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996CCC8-8CA8-4E12-8C20-32C66880002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137" name="BC$K$255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9C966F8-2B13-4E88-AA9B-709FAD4A3EA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139" name="BC$K$255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770742E-73DA-4A4B-A683-DD57E0B765F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141" name="BC$K$255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9E9438D-EDBD-454F-97C3-5C93A42FE95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143" name="BC$K$255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505767A-86F6-4252-8070-D7F201AD759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145" name="BC$K$255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7ABF4077-89E9-4B68-B179-F1B3FB7D344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147" name="BC$K$255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FA015F8-38CD-442B-A4F1-41BAE44BD4D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149" name="BC$K$255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7D9CB97-4ECA-4269-9454-ECBAEB98675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151" name="BC$K$255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A98E649-F6C5-4B7C-8C08-695F331B7FA6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153" name="BC$K$255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94BADBD-EDC7-4397-ACEB-D0AEC3A13248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155" name="BC$K$255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20F3B87-890C-40B6-AC8F-3C5C313C220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157" name="BC$K$255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BB8034E-6CEC-4334-8F07-8D815ED07C99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159" name="BC$K$255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E07BC9E-5CC9-4FA3-8BD7-EA0695921D6D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161" name="BC$K$255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239C72D-BADA-480F-9657-2C688DD0A5C6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163" name="BC$K$255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3A33C71-8547-40A1-BED2-C72DA35F0E3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165" name="BC$K$255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E9EAD9B-02EE-4CE0-9662-541EF9178B92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167" name="BC$K$255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09A7A81-E8CB-4190-AA8B-4035381D79D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169" name="BC$K$255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CBADE7E-F83E-4113-A4EB-D6EDAC8B26C7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171" name="BC$K$255#BR24">
                                      <a:extLst>
                                        <a:ext uri="{FF2B5EF4-FFF2-40B4-BE49-F238E27FC236}">
                                          <a16:creationId xmlns:a16="http://schemas.microsoft.com/office/drawing/2014/main" id="{AA313242-A8E7-45D7-8D71-5958FBAE4E83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173" name="BC$K$255#BR25">
                                    <a:extLst>
                                      <a:ext uri="{FF2B5EF4-FFF2-40B4-BE49-F238E27FC236}">
                                        <a16:creationId xmlns:a16="http://schemas.microsoft.com/office/drawing/2014/main" id="{B8643BFF-B131-400C-BAF8-88BDDD1DE65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175" name="BC$K$255#BR26">
                                  <a:extLst>
                                    <a:ext uri="{FF2B5EF4-FFF2-40B4-BE49-F238E27FC236}">
                                      <a16:creationId xmlns:a16="http://schemas.microsoft.com/office/drawing/2014/main" id="{A8E49140-1E42-4F8F-A448-4A65B9A278CC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177" name="BC$K$255#BR27">
                                <a:extLst>
                                  <a:ext uri="{FF2B5EF4-FFF2-40B4-BE49-F238E27FC236}">
                                    <a16:creationId xmlns:a16="http://schemas.microsoft.com/office/drawing/2014/main" id="{8ACFF542-3233-46A4-B93F-7F5F80692B6B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179" name="BC$K$255#BR28">
                              <a:extLst>
                                <a:ext uri="{FF2B5EF4-FFF2-40B4-BE49-F238E27FC236}">
                                  <a16:creationId xmlns:a16="http://schemas.microsoft.com/office/drawing/2014/main" id="{D21AE3E7-7C8C-41B5-84A7-61FB487F7A2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181" name="BC$K$255#BR29">
                            <a:extLst>
                              <a:ext uri="{FF2B5EF4-FFF2-40B4-BE49-F238E27FC236}">
                                <a16:creationId xmlns:a16="http://schemas.microsoft.com/office/drawing/2014/main" id="{C7246415-087B-4948-BC1E-878A1F02C37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183" name="BC$K$255#BR30">
                          <a:extLst>
                            <a:ext uri="{FF2B5EF4-FFF2-40B4-BE49-F238E27FC236}">
                              <a16:creationId xmlns:a16="http://schemas.microsoft.com/office/drawing/2014/main" id="{33E6A9CD-365F-49F2-91B9-C207A8D09F3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185" name="BC$K$255#BR31">
                        <a:extLst>
                          <a:ext uri="{FF2B5EF4-FFF2-40B4-BE49-F238E27FC236}">
                            <a16:creationId xmlns:a16="http://schemas.microsoft.com/office/drawing/2014/main" id="{28A6D3FD-6BA5-4700-BE6E-91CCECB51AF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187" name="BC$K$255#BR32">
                      <a:extLst>
                        <a:ext uri="{FF2B5EF4-FFF2-40B4-BE49-F238E27FC236}">
                          <a16:creationId xmlns:a16="http://schemas.microsoft.com/office/drawing/2014/main" id="{F497FED4-0E9E-4E56-9E25-BF76BA3F373E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189" name="BC$K$255#BR33">
                    <a:extLst>
                      <a:ext uri="{FF2B5EF4-FFF2-40B4-BE49-F238E27FC236}">
                        <a16:creationId xmlns:a16="http://schemas.microsoft.com/office/drawing/2014/main" id="{8866C130-2300-4EF2-8C6E-7A6C4A9DFD3F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191" name="BC$K$255#BR34">
                  <a:extLst>
                    <a:ext uri="{FF2B5EF4-FFF2-40B4-BE49-F238E27FC236}">
                      <a16:creationId xmlns:a16="http://schemas.microsoft.com/office/drawing/2014/main" id="{EB2BDBD7-B756-46C8-90F7-C528A4F868F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193" name="BC$K$255#BR35">
                <a:extLst>
                  <a:ext uri="{FF2B5EF4-FFF2-40B4-BE49-F238E27FC236}">
                    <a16:creationId xmlns:a16="http://schemas.microsoft.com/office/drawing/2014/main" id="{E98C2A25-8361-4E3B-BCDE-5138CFF5A99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195" name="BC$K$255#BR36">
              <a:extLst>
                <a:ext uri="{FF2B5EF4-FFF2-40B4-BE49-F238E27FC236}">
                  <a16:creationId xmlns:a16="http://schemas.microsoft.com/office/drawing/2014/main" id="{1CEC6465-A0E4-4A9A-9B15-B8236C93B05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197" name="BC$K$255#BR37">
            <a:extLst>
              <a:ext uri="{FF2B5EF4-FFF2-40B4-BE49-F238E27FC236}">
                <a16:creationId xmlns:a16="http://schemas.microsoft.com/office/drawing/2014/main" id="{6B848C1C-C6E4-41D3-88D9-1C83FB3698E0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272</xdr:row>
      <xdr:rowOff>9525</xdr:rowOff>
    </xdr:from>
    <xdr:to>
      <xdr:col>27</xdr:col>
      <xdr:colOff>200025</xdr:colOff>
      <xdr:row>274</xdr:row>
      <xdr:rowOff>9525</xdr:rowOff>
    </xdr:to>
    <xdr:grpSp>
      <xdr:nvGrpSpPr>
        <xdr:cNvPr id="8273" name="BC$Y$266#GR">
          <a:extLst>
            <a:ext uri="{FF2B5EF4-FFF2-40B4-BE49-F238E27FC236}">
              <a16:creationId xmlns:a16="http://schemas.microsoft.com/office/drawing/2014/main" id="{92E56DA8-CF9E-4CEE-87C3-BCD85BDE2E0F}"/>
            </a:ext>
          </a:extLst>
        </xdr:cNvPr>
        <xdr:cNvGrpSpPr/>
      </xdr:nvGrpSpPr>
      <xdr:grpSpPr>
        <a:xfrm>
          <a:off x="5781675" y="51730275"/>
          <a:ext cx="381000" cy="381000"/>
          <a:chOff x="0" y="0"/>
          <a:chExt cx="381000" cy="381000"/>
        </a:xfrm>
      </xdr:grpSpPr>
      <xdr:grpSp>
        <xdr:nvGrpSpPr>
          <xdr:cNvPr id="8271" name="BC$Y$266#GR">
            <a:extLst>
              <a:ext uri="{FF2B5EF4-FFF2-40B4-BE49-F238E27FC236}">
                <a16:creationId xmlns:a16="http://schemas.microsoft.com/office/drawing/2014/main" id="{237B8344-27FB-4B0D-97E6-01FEF6FBDDB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269" name="BC$Y$266#GR">
              <a:extLst>
                <a:ext uri="{FF2B5EF4-FFF2-40B4-BE49-F238E27FC236}">
                  <a16:creationId xmlns:a16="http://schemas.microsoft.com/office/drawing/2014/main" id="{86666033-D795-4452-8C21-C1094EE8157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267" name="BC$Y$266#GR">
                <a:extLst>
                  <a:ext uri="{FF2B5EF4-FFF2-40B4-BE49-F238E27FC236}">
                    <a16:creationId xmlns:a16="http://schemas.microsoft.com/office/drawing/2014/main" id="{BAB7E975-4C18-476A-81B0-AB34298593A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265" name="BC$Y$266#GR">
                  <a:extLst>
                    <a:ext uri="{FF2B5EF4-FFF2-40B4-BE49-F238E27FC236}">
                      <a16:creationId xmlns:a16="http://schemas.microsoft.com/office/drawing/2014/main" id="{9B9AAC2D-72A3-4A66-A659-5556B2131B0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263" name="BC$Y$266#GR">
                    <a:extLst>
                      <a:ext uri="{FF2B5EF4-FFF2-40B4-BE49-F238E27FC236}">
                        <a16:creationId xmlns:a16="http://schemas.microsoft.com/office/drawing/2014/main" id="{9B425F4C-034D-4408-BE0A-FEEADF31CC4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261" name="BC$Y$266#GR">
                      <a:extLst>
                        <a:ext uri="{FF2B5EF4-FFF2-40B4-BE49-F238E27FC236}">
                          <a16:creationId xmlns:a16="http://schemas.microsoft.com/office/drawing/2014/main" id="{601B84BA-7B23-48A6-AE65-7FCBE65E712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259" name="BC$Y$266#GR">
                        <a:extLst>
                          <a:ext uri="{FF2B5EF4-FFF2-40B4-BE49-F238E27FC236}">
                            <a16:creationId xmlns:a16="http://schemas.microsoft.com/office/drawing/2014/main" id="{2039394D-C0BC-45B7-8D44-B544AF4DE531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257" name="BC$Y$266#GR">
                          <a:extLst>
                            <a:ext uri="{FF2B5EF4-FFF2-40B4-BE49-F238E27FC236}">
                              <a16:creationId xmlns:a16="http://schemas.microsoft.com/office/drawing/2014/main" id="{58E2CB91-2C1E-4B40-9FEA-49AC6CF799D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255" name="BC$Y$266#GR">
                            <a:extLst>
                              <a:ext uri="{FF2B5EF4-FFF2-40B4-BE49-F238E27FC236}">
                                <a16:creationId xmlns:a16="http://schemas.microsoft.com/office/drawing/2014/main" id="{9442DA58-D48B-4014-A2D3-A4D8E45D193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253" name="BC$Y$266#GR">
                              <a:extLst>
                                <a:ext uri="{FF2B5EF4-FFF2-40B4-BE49-F238E27FC236}">
                                  <a16:creationId xmlns:a16="http://schemas.microsoft.com/office/drawing/2014/main" id="{A6DBF7C5-0540-4B7C-A382-706B4933E1E2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251" name="BC$Y$266#GR">
                                <a:extLst>
                                  <a:ext uri="{FF2B5EF4-FFF2-40B4-BE49-F238E27FC236}">
                                    <a16:creationId xmlns:a16="http://schemas.microsoft.com/office/drawing/2014/main" id="{BF2820E8-AD33-4BBA-A66C-B1EBDBCF409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249" name="BC$Y$266#GR">
                                  <a:extLst>
                                    <a:ext uri="{FF2B5EF4-FFF2-40B4-BE49-F238E27FC236}">
                                      <a16:creationId xmlns:a16="http://schemas.microsoft.com/office/drawing/2014/main" id="{22769227-09B2-4E83-B949-B5D233450E1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247" name="BC$Y$266#GR">
                                    <a:extLst>
                                      <a:ext uri="{FF2B5EF4-FFF2-40B4-BE49-F238E27FC236}">
                                        <a16:creationId xmlns:a16="http://schemas.microsoft.com/office/drawing/2014/main" id="{FAE7A859-F634-4F70-BCDD-DA6FC8B6DEC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245" name="BC$Y$266#GR">
                                      <a:extLst>
                                        <a:ext uri="{FF2B5EF4-FFF2-40B4-BE49-F238E27FC236}">
                                          <a16:creationId xmlns:a16="http://schemas.microsoft.com/office/drawing/2014/main" id="{C8B2EE19-A97B-4351-B5BE-CA72CEAB073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243" name="BC$Y$26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A4CE1CD-5864-42BF-BD8A-E4A0ACF618F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241" name="BC$Y$26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A8A485F-5D06-40A1-9DC6-3B3233E58EDA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239" name="BC$Y$26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467F33D-DF0B-4D37-AB92-1C60E84E65F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237" name="BC$Y$26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40B715B-C1C7-4254-ABB9-3672D39A3E73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235" name="BC$Y$26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CA70EC2-C03C-4B3C-A2C7-B7B9D0B6B13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233" name="BC$Y$26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5B03D49-C36D-49E2-BD18-EEB048B52571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231" name="BC$Y$26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7A973E5-2112-4D5F-B35F-866D5AB3CE71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229" name="BC$Y$26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7017805-A4F0-4908-AA8B-99C2B8D17B0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227" name="BC$Y$26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79AF4AA-9DE4-4537-B560-03F71094B99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225" name="BC$Y$26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206752D-7233-4DDC-A7AA-6C260738A09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223" name="BC$Y$26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CC96026-4543-45D6-A9CC-D5EF6893B923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221" name="BC$Y$26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8B38237-AD35-451D-923A-6E659D1D446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219" name="BC$Y$26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65BCA34-77BC-4CF1-8C24-3F83AEEFAF8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217" name="BC$Y$26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30D7D68-49F4-442E-B649-3265D29153D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215" name="BC$Y$26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39D1F0A-C6CB-43C0-9FB2-D9A22AE2F5E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213" name="BC$Y$26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7E73A4D-5DC0-435B-BC64-27164AB5ED9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211" name="BC$Y$26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FE482CB-44C9-41B8-92BA-EC050533A98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209" name="BC$Y$26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C5A3EFE-210A-41B0-9D67-209609E022C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207" name="BC$Y$26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8112A70-471F-45C5-9775-E3F3C6D534B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205" name="BC$Y$26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E7AE149-9600-48ED-8423-0F915163AE3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203" name="BC$Y$26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D284C7F-2B6F-4CD2-A8B7-80789547C05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201" name="BC$Y$26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7DEC29A-FAC8-445D-B549-D1F9429BB57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199" name="BC$Y$266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4860A67-ABD5-49B1-8C50-1974BB93E5B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200" name="BC$Y$266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9B99EDC-2E9E-452F-A5DA-7A024C671DF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202" name="BC$Y$266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FCDB56C-6639-4C6F-9ADE-47D3992A312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204" name="BC$Y$266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96510C6-E2E9-49E0-8461-60E85822461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206" name="BC$Y$266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612234D-F669-4CBF-B511-59675E7478B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208" name="BC$Y$266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47DFDD6-584C-45BF-B4B6-C942AC235C9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210" name="BC$Y$266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2F6A0E1-3E73-466F-AEE3-6817AE4EC1A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212" name="BC$Y$266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A72B7DC-BD65-46C4-927E-A2BFBBB6C33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214" name="BC$Y$266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C545E02-7D2F-4EE1-9ACA-5F2E0E93BA5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216" name="BC$Y$266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E76414F-4073-4B53-9B9D-385DD90697F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218" name="BC$Y$266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EF51A0E-72D5-48F6-AE1E-A1BBB72A6F4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220" name="BC$Y$266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9C1CECC-233F-4893-A250-D49C000ED72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222" name="BC$Y$266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E46C4C8-11A6-4A1E-ADCA-A06C5D4967F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224" name="BC$Y$266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A411596-3807-44F4-ADD9-008CBC6EEF4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226" name="BC$Y$266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FE741C1-C563-4729-AD6A-3D76C28E088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228" name="BC$Y$266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0BA0CE3-85BF-4381-B951-E174AC05BB1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230" name="BC$Y$266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1483574-4D5F-4694-AC29-926236541DF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232" name="BC$Y$266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B53D89D-CAD0-458D-BD38-6C99C203154A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234" name="BC$Y$266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5586500-B20B-4D88-B70F-083B161FE876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236" name="BC$Y$266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DC6FBC4-097D-434C-A254-9EE0906E815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238" name="BC$Y$266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7FF8479-4A02-47CC-9A21-C0B71DA902C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240" name="BC$Y$266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2F390DA-F9F0-4656-9DDF-6526D69962C8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242" name="BC$Y$266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BAD3374-EE53-45EE-B379-090034AA1A3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244" name="BC$Y$266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09103C2-9362-4042-B512-6CD99428097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246" name="BC$Y$266#BR24">
                                      <a:extLst>
                                        <a:ext uri="{FF2B5EF4-FFF2-40B4-BE49-F238E27FC236}">
                                          <a16:creationId xmlns:a16="http://schemas.microsoft.com/office/drawing/2014/main" id="{422D155A-BB4E-4128-8F27-7AC956EACBFF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248" name="BC$Y$266#BR25">
                                    <a:extLst>
                                      <a:ext uri="{FF2B5EF4-FFF2-40B4-BE49-F238E27FC236}">
                                        <a16:creationId xmlns:a16="http://schemas.microsoft.com/office/drawing/2014/main" id="{747AEE3F-3965-4A80-8BA1-12ED059A65F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250" name="BC$Y$266#BR26">
                                  <a:extLst>
                                    <a:ext uri="{FF2B5EF4-FFF2-40B4-BE49-F238E27FC236}">
                                      <a16:creationId xmlns:a16="http://schemas.microsoft.com/office/drawing/2014/main" id="{716B4F99-6D73-412C-ADC9-344088DE43C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252" name="BC$Y$266#BR27">
                                <a:extLst>
                                  <a:ext uri="{FF2B5EF4-FFF2-40B4-BE49-F238E27FC236}">
                                    <a16:creationId xmlns:a16="http://schemas.microsoft.com/office/drawing/2014/main" id="{C04BFA5B-1509-40ED-B9B1-8CA845E38081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254" name="BC$Y$266#BR28">
                              <a:extLst>
                                <a:ext uri="{FF2B5EF4-FFF2-40B4-BE49-F238E27FC236}">
                                  <a16:creationId xmlns:a16="http://schemas.microsoft.com/office/drawing/2014/main" id="{0BEAA9E1-6FA5-4E3E-A9EA-6C5A35C986E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256" name="BC$Y$266#BR29">
                            <a:extLst>
                              <a:ext uri="{FF2B5EF4-FFF2-40B4-BE49-F238E27FC236}">
                                <a16:creationId xmlns:a16="http://schemas.microsoft.com/office/drawing/2014/main" id="{77329FC6-4F41-4869-8BF5-5840613659E7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258" name="BC$Y$266#BR30">
                          <a:extLst>
                            <a:ext uri="{FF2B5EF4-FFF2-40B4-BE49-F238E27FC236}">
                              <a16:creationId xmlns:a16="http://schemas.microsoft.com/office/drawing/2014/main" id="{1B8AE850-7E85-4DF6-81CE-752A2662B7E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260" name="BC$Y$266#BR31">
                        <a:extLst>
                          <a:ext uri="{FF2B5EF4-FFF2-40B4-BE49-F238E27FC236}">
                            <a16:creationId xmlns:a16="http://schemas.microsoft.com/office/drawing/2014/main" id="{7D0F3887-DA33-4C54-B818-6116F4AEFAD7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262" name="BC$Y$266#BR32">
                      <a:extLst>
                        <a:ext uri="{FF2B5EF4-FFF2-40B4-BE49-F238E27FC236}">
                          <a16:creationId xmlns:a16="http://schemas.microsoft.com/office/drawing/2014/main" id="{7792BACC-9F76-4F26-B1AC-360DAD35552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264" name="BC$Y$266#BR33">
                    <a:extLst>
                      <a:ext uri="{FF2B5EF4-FFF2-40B4-BE49-F238E27FC236}">
                        <a16:creationId xmlns:a16="http://schemas.microsoft.com/office/drawing/2014/main" id="{81C1C6C1-6551-4362-AD1A-86A632C2173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266" name="BC$Y$266#BR34">
                  <a:extLst>
                    <a:ext uri="{FF2B5EF4-FFF2-40B4-BE49-F238E27FC236}">
                      <a16:creationId xmlns:a16="http://schemas.microsoft.com/office/drawing/2014/main" id="{31A78706-497F-45A3-AD95-0B9E6A237BF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268" name="BC$Y$266#BR35">
                <a:extLst>
                  <a:ext uri="{FF2B5EF4-FFF2-40B4-BE49-F238E27FC236}">
                    <a16:creationId xmlns:a16="http://schemas.microsoft.com/office/drawing/2014/main" id="{C8D7DCE6-824E-4B50-B067-C1ACD8A7BDEE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270" name="BC$Y$266#BR36">
              <a:extLst>
                <a:ext uri="{FF2B5EF4-FFF2-40B4-BE49-F238E27FC236}">
                  <a16:creationId xmlns:a16="http://schemas.microsoft.com/office/drawing/2014/main" id="{5CCA6ABF-DCAD-44DE-8886-B9A75D478C5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272" name="BC$Y$266#BR37">
            <a:extLst>
              <a:ext uri="{FF2B5EF4-FFF2-40B4-BE49-F238E27FC236}">
                <a16:creationId xmlns:a16="http://schemas.microsoft.com/office/drawing/2014/main" id="{A477B287-F9F8-436F-8055-4D818EBB220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261</xdr:row>
      <xdr:rowOff>9525</xdr:rowOff>
    </xdr:from>
    <xdr:to>
      <xdr:col>27</xdr:col>
      <xdr:colOff>200025</xdr:colOff>
      <xdr:row>263</xdr:row>
      <xdr:rowOff>9525</xdr:rowOff>
    </xdr:to>
    <xdr:grpSp>
      <xdr:nvGrpSpPr>
        <xdr:cNvPr id="8348" name="BC$Y$255#GR">
          <a:extLst>
            <a:ext uri="{FF2B5EF4-FFF2-40B4-BE49-F238E27FC236}">
              <a16:creationId xmlns:a16="http://schemas.microsoft.com/office/drawing/2014/main" id="{2E46D3F3-0E73-47A5-B94A-581E7459CCED}"/>
            </a:ext>
          </a:extLst>
        </xdr:cNvPr>
        <xdr:cNvGrpSpPr/>
      </xdr:nvGrpSpPr>
      <xdr:grpSpPr>
        <a:xfrm>
          <a:off x="5781675" y="49634775"/>
          <a:ext cx="381000" cy="381000"/>
          <a:chOff x="0" y="0"/>
          <a:chExt cx="381000" cy="381000"/>
        </a:xfrm>
      </xdr:grpSpPr>
      <xdr:grpSp>
        <xdr:nvGrpSpPr>
          <xdr:cNvPr id="8346" name="BC$Y$255#GR">
            <a:extLst>
              <a:ext uri="{FF2B5EF4-FFF2-40B4-BE49-F238E27FC236}">
                <a16:creationId xmlns:a16="http://schemas.microsoft.com/office/drawing/2014/main" id="{36BE924C-E251-495A-B381-2E9393C87E43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344" name="BC$Y$255#GR">
              <a:extLst>
                <a:ext uri="{FF2B5EF4-FFF2-40B4-BE49-F238E27FC236}">
                  <a16:creationId xmlns:a16="http://schemas.microsoft.com/office/drawing/2014/main" id="{626873DA-97C8-442B-88BB-9D1050FC386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342" name="BC$Y$255#GR">
                <a:extLst>
                  <a:ext uri="{FF2B5EF4-FFF2-40B4-BE49-F238E27FC236}">
                    <a16:creationId xmlns:a16="http://schemas.microsoft.com/office/drawing/2014/main" id="{75E9CD5D-26B9-4EE7-9CA8-64F16D6CEA7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340" name="BC$Y$255#GR">
                  <a:extLst>
                    <a:ext uri="{FF2B5EF4-FFF2-40B4-BE49-F238E27FC236}">
                      <a16:creationId xmlns:a16="http://schemas.microsoft.com/office/drawing/2014/main" id="{E20B1506-6315-4F00-873B-CF7627855CE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338" name="BC$Y$255#GR">
                    <a:extLst>
                      <a:ext uri="{FF2B5EF4-FFF2-40B4-BE49-F238E27FC236}">
                        <a16:creationId xmlns:a16="http://schemas.microsoft.com/office/drawing/2014/main" id="{3575912D-3B5D-447A-B6ED-79304867347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336" name="BC$Y$255#GR">
                      <a:extLst>
                        <a:ext uri="{FF2B5EF4-FFF2-40B4-BE49-F238E27FC236}">
                          <a16:creationId xmlns:a16="http://schemas.microsoft.com/office/drawing/2014/main" id="{1CF3933E-C87A-45D4-83AD-05ADB1264E56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334" name="BC$Y$255#GR">
                        <a:extLst>
                          <a:ext uri="{FF2B5EF4-FFF2-40B4-BE49-F238E27FC236}">
                            <a16:creationId xmlns:a16="http://schemas.microsoft.com/office/drawing/2014/main" id="{7F3775B9-86CB-4EFB-9BF5-7CFC1E375A6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332" name="BC$Y$255#GR">
                          <a:extLst>
                            <a:ext uri="{FF2B5EF4-FFF2-40B4-BE49-F238E27FC236}">
                              <a16:creationId xmlns:a16="http://schemas.microsoft.com/office/drawing/2014/main" id="{9AE3FA3B-9776-4AF1-ACEB-9C60C1A40C5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330" name="BC$Y$255#GR">
                            <a:extLst>
                              <a:ext uri="{FF2B5EF4-FFF2-40B4-BE49-F238E27FC236}">
                                <a16:creationId xmlns:a16="http://schemas.microsoft.com/office/drawing/2014/main" id="{A5667E60-A243-4F3B-85F5-D9CE85075D1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328" name="BC$Y$255#GR">
                              <a:extLst>
                                <a:ext uri="{FF2B5EF4-FFF2-40B4-BE49-F238E27FC236}">
                                  <a16:creationId xmlns:a16="http://schemas.microsoft.com/office/drawing/2014/main" id="{965DBCCA-E8BE-44C0-8320-BD756E28A845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326" name="BC$Y$255#GR">
                                <a:extLst>
                                  <a:ext uri="{FF2B5EF4-FFF2-40B4-BE49-F238E27FC236}">
                                    <a16:creationId xmlns:a16="http://schemas.microsoft.com/office/drawing/2014/main" id="{54DF71A4-6C7E-4081-B188-7ADBA85A1A5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324" name="BC$Y$255#GR">
                                  <a:extLst>
                                    <a:ext uri="{FF2B5EF4-FFF2-40B4-BE49-F238E27FC236}">
                                      <a16:creationId xmlns:a16="http://schemas.microsoft.com/office/drawing/2014/main" id="{96310415-E0FB-4D27-94D7-C129892A8A0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322" name="BC$Y$255#GR">
                                    <a:extLst>
                                      <a:ext uri="{FF2B5EF4-FFF2-40B4-BE49-F238E27FC236}">
                                        <a16:creationId xmlns:a16="http://schemas.microsoft.com/office/drawing/2014/main" id="{CA438119-3F72-49FC-B600-F794DCB64F9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320" name="BC$Y$255#GR">
                                      <a:extLst>
                                        <a:ext uri="{FF2B5EF4-FFF2-40B4-BE49-F238E27FC236}">
                                          <a16:creationId xmlns:a16="http://schemas.microsoft.com/office/drawing/2014/main" id="{887EE5E5-0A81-4F77-9243-5D1126367DF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318" name="BC$Y$25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399F56B-6A57-451D-97A9-F064765D2C0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316" name="BC$Y$25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CA245DA-A570-4808-BFF2-0DB6404F9E1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314" name="BC$Y$25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159F046-641A-4814-9B91-C2585FA07514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312" name="BC$Y$25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F5C81AD-DA3A-42E0-8FAB-FA9051653E2E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310" name="BC$Y$25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4C4B760-DEF2-4A18-B111-1E9440CDFC9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308" name="BC$Y$25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C94D81B-CD24-4208-942F-2764142E7FF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306" name="BC$Y$25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3EBA2C7B-3143-4447-B311-291A2054773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304" name="BC$Y$25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3273733-D1A4-4C76-BD01-3152F6741D3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302" name="BC$Y$25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51A626A-B4AF-4EC7-97A7-02EEEB48A63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300" name="BC$Y$25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0544A04-C1B8-4ED8-B855-22C447740CAD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298" name="BC$Y$25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5E6CCFB7-F156-43EA-ACDF-93410621BED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296" name="BC$Y$25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CC80FB4-DD34-488E-A037-3191178461D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294" name="BC$Y$25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D564795-4509-4235-B109-4B3B9409D05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292" name="BC$Y$25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5FDA694-6C29-4436-BF23-B1A456259BD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290" name="BC$Y$25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FBC3CF7-5069-4BE9-81F6-980688FD730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288" name="BC$Y$25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D828BE7-1E0B-4B42-AFC5-A455D2651A3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286" name="BC$Y$25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7D73EFE-6D51-4555-AD37-07CBFFE43E1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284" name="BC$Y$25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42B6868-0745-4EA3-AC95-6C5E8E3FE41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282" name="BC$Y$25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A1BF807-9627-45A4-BB16-F36ACAC6F4E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280" name="BC$Y$25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4B08B32-FC97-4387-9DDE-AB8CEF06229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278" name="BC$Y$25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5B73614-0099-48F6-BDEE-9B6F85B35FB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276" name="BC$Y$25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F13395D-34E8-4CC2-8612-07A59D138CF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274" name="BC$Y$255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D226F32-8579-41F0-8844-1D84455C3B4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275" name="BC$Y$255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ABA3985-D7D5-4E4C-902C-70E3E1CE53D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277" name="BC$Y$255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AC18523-238B-4FAE-A495-14DB35D4A44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279" name="BC$Y$255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8078E80-B1FF-40A1-B7C4-79587608307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281" name="BC$Y$255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AD3299C-F38E-4855-8EC8-BCE0733A16C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283" name="BC$Y$255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C73AB19-1221-40A9-A887-5A081E2ECA0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285" name="BC$Y$255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7D04A99-8A5B-4C88-BF2A-7C4BD95A969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287" name="BC$Y$255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AB7D1C1-D428-4765-8EEC-D70146F7A85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289" name="BC$Y$255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C49DA60-D807-4F31-98C7-46D64EF39F7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291" name="BC$Y$255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AE880E0-D3C1-4608-84F3-B60B5138E51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293" name="BC$Y$255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D36713B-A7D3-4294-B256-71FD822C9AE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295" name="BC$Y$255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BC05082-6877-419C-9067-0E1596C461D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297" name="BC$Y$255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3DDDD00-F1C9-4AD2-BA92-4F0D6DBECFE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299" name="BC$Y$255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854DA1E-2BB1-4099-A2A1-24AF4B7853F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301" name="BC$Y$255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AA9D8D0-C3C4-45FB-A3B5-6D79C2EF303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303" name="BC$Y$255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BCF2BBF-6BF0-4FDA-9EBA-8CC3E7816FF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305" name="BC$Y$255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10393B0-350D-4941-B5F3-B635B136427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307" name="BC$Y$255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A69E77C-F036-4F34-BF56-875F15DEF737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309" name="BC$Y$255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62E57DA-B28A-4CC1-82BD-C05A821142D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311" name="BC$Y$255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232E99D-2312-4407-917C-045D0FE0077E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313" name="BC$Y$255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1361FF8-4D15-44CE-9921-F562F5D61A7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315" name="BC$Y$255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A16B68D-918C-400A-AC46-A1C6F815668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317" name="BC$Y$255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8AE7303-8383-45CF-B774-C6DD50E5F07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319" name="BC$Y$255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12B9051-9857-40EE-968B-6CAD6BA849B9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321" name="BC$Y$255#BR24">
                                      <a:extLst>
                                        <a:ext uri="{FF2B5EF4-FFF2-40B4-BE49-F238E27FC236}">
                                          <a16:creationId xmlns:a16="http://schemas.microsoft.com/office/drawing/2014/main" id="{689C219E-3144-46F1-81BA-0269FE963B0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323" name="BC$Y$255#BR25">
                                    <a:extLst>
                                      <a:ext uri="{FF2B5EF4-FFF2-40B4-BE49-F238E27FC236}">
                                        <a16:creationId xmlns:a16="http://schemas.microsoft.com/office/drawing/2014/main" id="{8200DAF5-F612-49DF-8C9F-2E146D6C631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325" name="BC$Y$255#BR26">
                                  <a:extLst>
                                    <a:ext uri="{FF2B5EF4-FFF2-40B4-BE49-F238E27FC236}">
                                      <a16:creationId xmlns:a16="http://schemas.microsoft.com/office/drawing/2014/main" id="{28E67314-2B81-4D0E-9025-C668708FCF1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327" name="BC$Y$255#BR27">
                                <a:extLst>
                                  <a:ext uri="{FF2B5EF4-FFF2-40B4-BE49-F238E27FC236}">
                                    <a16:creationId xmlns:a16="http://schemas.microsoft.com/office/drawing/2014/main" id="{2341AFE7-95CB-49E0-A6F1-1ADA92C43353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329" name="BC$Y$255#BR28">
                              <a:extLst>
                                <a:ext uri="{FF2B5EF4-FFF2-40B4-BE49-F238E27FC236}">
                                  <a16:creationId xmlns:a16="http://schemas.microsoft.com/office/drawing/2014/main" id="{B03EC50E-3446-4010-B96F-0EAFBC5961B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331" name="BC$Y$255#BR29">
                            <a:extLst>
                              <a:ext uri="{FF2B5EF4-FFF2-40B4-BE49-F238E27FC236}">
                                <a16:creationId xmlns:a16="http://schemas.microsoft.com/office/drawing/2014/main" id="{6A5A4475-78FC-4A08-BAE7-D7FD37E7B75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333" name="BC$Y$255#BR30">
                          <a:extLst>
                            <a:ext uri="{FF2B5EF4-FFF2-40B4-BE49-F238E27FC236}">
                              <a16:creationId xmlns:a16="http://schemas.microsoft.com/office/drawing/2014/main" id="{926E24E3-F6C7-4C81-8E7F-07841FC8811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335" name="BC$Y$255#BR31">
                        <a:extLst>
                          <a:ext uri="{FF2B5EF4-FFF2-40B4-BE49-F238E27FC236}">
                            <a16:creationId xmlns:a16="http://schemas.microsoft.com/office/drawing/2014/main" id="{C499B2A2-2681-4D85-A3C9-74402095E04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337" name="BC$Y$255#BR32">
                      <a:extLst>
                        <a:ext uri="{FF2B5EF4-FFF2-40B4-BE49-F238E27FC236}">
                          <a16:creationId xmlns:a16="http://schemas.microsoft.com/office/drawing/2014/main" id="{CA6F53DA-19B9-423A-9656-0B77ED8F273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339" name="BC$Y$255#BR33">
                    <a:extLst>
                      <a:ext uri="{FF2B5EF4-FFF2-40B4-BE49-F238E27FC236}">
                        <a16:creationId xmlns:a16="http://schemas.microsoft.com/office/drawing/2014/main" id="{9BAC4573-3CBB-415C-8FD7-636DC332C8B1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341" name="BC$Y$255#BR34">
                  <a:extLst>
                    <a:ext uri="{FF2B5EF4-FFF2-40B4-BE49-F238E27FC236}">
                      <a16:creationId xmlns:a16="http://schemas.microsoft.com/office/drawing/2014/main" id="{52FB99D6-A45A-4195-9E6D-8BC3E88C664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343" name="BC$Y$255#BR35">
                <a:extLst>
                  <a:ext uri="{FF2B5EF4-FFF2-40B4-BE49-F238E27FC236}">
                    <a16:creationId xmlns:a16="http://schemas.microsoft.com/office/drawing/2014/main" id="{1CF27055-93AF-49B6-9793-BEC797CF2C5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345" name="BC$Y$255#BR36">
              <a:extLst>
                <a:ext uri="{FF2B5EF4-FFF2-40B4-BE49-F238E27FC236}">
                  <a16:creationId xmlns:a16="http://schemas.microsoft.com/office/drawing/2014/main" id="{A9B47A36-6855-4679-B5C8-A45BD06CC7C1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347" name="BC$Y$255#BR37">
            <a:extLst>
              <a:ext uri="{FF2B5EF4-FFF2-40B4-BE49-F238E27FC236}">
                <a16:creationId xmlns:a16="http://schemas.microsoft.com/office/drawing/2014/main" id="{9A0BFA9E-FCE1-4207-8F2F-99ECC0CF870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272</xdr:row>
      <xdr:rowOff>9525</xdr:rowOff>
    </xdr:from>
    <xdr:to>
      <xdr:col>13</xdr:col>
      <xdr:colOff>200025</xdr:colOff>
      <xdr:row>274</xdr:row>
      <xdr:rowOff>9525</xdr:rowOff>
    </xdr:to>
    <xdr:grpSp>
      <xdr:nvGrpSpPr>
        <xdr:cNvPr id="8423" name="BC$K$266#GR">
          <a:extLst>
            <a:ext uri="{FF2B5EF4-FFF2-40B4-BE49-F238E27FC236}">
              <a16:creationId xmlns:a16="http://schemas.microsoft.com/office/drawing/2014/main" id="{9760807B-4A43-46E4-952F-5ABA92897759}"/>
            </a:ext>
          </a:extLst>
        </xdr:cNvPr>
        <xdr:cNvGrpSpPr/>
      </xdr:nvGrpSpPr>
      <xdr:grpSpPr>
        <a:xfrm>
          <a:off x="2667000" y="51730275"/>
          <a:ext cx="381000" cy="381000"/>
          <a:chOff x="0" y="0"/>
          <a:chExt cx="381000" cy="381000"/>
        </a:xfrm>
      </xdr:grpSpPr>
      <xdr:grpSp>
        <xdr:nvGrpSpPr>
          <xdr:cNvPr id="8421" name="BC$K$266#GR">
            <a:extLst>
              <a:ext uri="{FF2B5EF4-FFF2-40B4-BE49-F238E27FC236}">
                <a16:creationId xmlns:a16="http://schemas.microsoft.com/office/drawing/2014/main" id="{BA6C156C-08B3-41E0-B5F8-91AD90F82C0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8419" name="BC$K$266#GR">
              <a:extLst>
                <a:ext uri="{FF2B5EF4-FFF2-40B4-BE49-F238E27FC236}">
                  <a16:creationId xmlns:a16="http://schemas.microsoft.com/office/drawing/2014/main" id="{1E40CEDB-0682-47EE-8EDB-94243353EFC6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8417" name="BC$K$266#GR">
                <a:extLst>
                  <a:ext uri="{FF2B5EF4-FFF2-40B4-BE49-F238E27FC236}">
                    <a16:creationId xmlns:a16="http://schemas.microsoft.com/office/drawing/2014/main" id="{60044953-2C82-4CE5-AB06-04CA638FCEB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8415" name="BC$K$266#GR">
                  <a:extLst>
                    <a:ext uri="{FF2B5EF4-FFF2-40B4-BE49-F238E27FC236}">
                      <a16:creationId xmlns:a16="http://schemas.microsoft.com/office/drawing/2014/main" id="{20242798-ECA5-438D-9C1F-19DA1983714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8413" name="BC$K$266#GR">
                    <a:extLst>
                      <a:ext uri="{FF2B5EF4-FFF2-40B4-BE49-F238E27FC236}">
                        <a16:creationId xmlns:a16="http://schemas.microsoft.com/office/drawing/2014/main" id="{6EBABB72-5C15-4E0B-96F9-6CCCAF2E2DAB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8411" name="BC$K$266#GR">
                      <a:extLst>
                        <a:ext uri="{FF2B5EF4-FFF2-40B4-BE49-F238E27FC236}">
                          <a16:creationId xmlns:a16="http://schemas.microsoft.com/office/drawing/2014/main" id="{1FE41DA2-8F80-4374-9112-99838BF666D6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8409" name="BC$K$266#GR">
                        <a:extLst>
                          <a:ext uri="{FF2B5EF4-FFF2-40B4-BE49-F238E27FC236}">
                            <a16:creationId xmlns:a16="http://schemas.microsoft.com/office/drawing/2014/main" id="{D2DF9C63-96C5-4790-98AB-73DFB3A149B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407" name="BC$K$266#GR">
                          <a:extLst>
                            <a:ext uri="{FF2B5EF4-FFF2-40B4-BE49-F238E27FC236}">
                              <a16:creationId xmlns:a16="http://schemas.microsoft.com/office/drawing/2014/main" id="{00817464-E2E9-4A50-97BB-00033EA29C9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405" name="BC$K$266#GR">
                            <a:extLst>
                              <a:ext uri="{FF2B5EF4-FFF2-40B4-BE49-F238E27FC236}">
                                <a16:creationId xmlns:a16="http://schemas.microsoft.com/office/drawing/2014/main" id="{F11D2C60-D82D-4C62-B633-F07FC7377C7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403" name="BC$K$266#GR">
                              <a:extLst>
                                <a:ext uri="{FF2B5EF4-FFF2-40B4-BE49-F238E27FC236}">
                                  <a16:creationId xmlns:a16="http://schemas.microsoft.com/office/drawing/2014/main" id="{FC6682D2-B99E-4AAF-B88D-89B5A7E4589B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401" name="BC$K$266#GR">
                                <a:extLst>
                                  <a:ext uri="{FF2B5EF4-FFF2-40B4-BE49-F238E27FC236}">
                                    <a16:creationId xmlns:a16="http://schemas.microsoft.com/office/drawing/2014/main" id="{E243940A-844D-4236-AD23-88C677053BBE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399" name="BC$K$266#GR">
                                  <a:extLst>
                                    <a:ext uri="{FF2B5EF4-FFF2-40B4-BE49-F238E27FC236}">
                                      <a16:creationId xmlns:a16="http://schemas.microsoft.com/office/drawing/2014/main" id="{D8D82330-24B8-4D6D-AD90-A989EFA819A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397" name="BC$K$266#GR">
                                    <a:extLst>
                                      <a:ext uri="{FF2B5EF4-FFF2-40B4-BE49-F238E27FC236}">
                                        <a16:creationId xmlns:a16="http://schemas.microsoft.com/office/drawing/2014/main" id="{1455273F-DA30-4735-8EB0-763C94E060E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395" name="BC$K$266#GR">
                                      <a:extLst>
                                        <a:ext uri="{FF2B5EF4-FFF2-40B4-BE49-F238E27FC236}">
                                          <a16:creationId xmlns:a16="http://schemas.microsoft.com/office/drawing/2014/main" id="{02DEDC71-6CB1-41D6-AEC6-81E2EC9F6AC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393" name="BC$K$26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EA5DF0D-ECD7-4344-91CA-45D54C3D43DE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391" name="BC$K$26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952DCE0-5CA5-4E05-8E21-D796FF16DC0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389" name="BC$K$26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73E0CB1-CC44-47B8-8A86-7173A5644592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387" name="BC$K$26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9D7E083-5673-4C26-AF00-B3E7024DFAC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385" name="BC$K$26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073F494-2F57-4C40-95F0-AF4F626137D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383" name="BC$K$26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8FACCB8-A658-40D9-8A2F-13639B2AACE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381" name="BC$K$26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8DE510E-3E34-42AE-AD72-2BB41D164BFE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379" name="BC$K$26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690753C-B670-42C4-8662-749BF823B551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377" name="BC$K$26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9FB9ABE-0735-47B2-B485-5078BB214F7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375" name="BC$K$26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A5611E2-FD39-478A-801C-FF1EA44F1E3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373" name="BC$K$26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E563943-10C6-4491-A553-66EBF46BA07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371" name="BC$K$26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55A4123-A79B-45FD-9542-EAE6C3DE8D2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369" name="BC$K$26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07AB27E-F5DB-4D9F-86B2-B041E9D0D64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367" name="BC$K$26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5FFCF5F-3C21-4967-886C-3002D657308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365" name="BC$K$26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83B58E9-F4F6-4F34-94EC-50F3950CF39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363" name="BC$K$26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CD7627B-A241-48E6-A92C-3519C3597F6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361" name="BC$K$26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9A37697-4698-42BC-8DB4-9756DB4163B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359" name="BC$K$26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0E68BE4-31CE-40F9-A192-09A0C14D07C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357" name="BC$K$26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8AC8C84-5211-4AE4-ADD2-D5D720CE9C6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355" name="BC$K$26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99F5849-52B2-4BF5-A985-273972C5987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353" name="BC$K$26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99BE903-F9C1-4DDB-A978-2E7327237CA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351" name="BC$K$26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E62E45B-57F0-4AA9-962A-F0039812F57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349" name="BC$K$266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F527866-0CF3-4430-B5DC-ABA054DDD0C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350" name="BC$K$266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7053C72-364F-42FB-8F11-B8AC5E4D97B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352" name="BC$K$266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7996B3F-E359-4F35-9F19-80186F09651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354" name="BC$K$266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119D1BA-35FA-4EAD-8A7C-19FB836EC86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356" name="BC$K$266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3808B80-82F2-4947-B547-5832D0C5A87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358" name="BC$K$266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EFB9399-499D-4595-BCB8-21F9CF11448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360" name="BC$K$266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1751CD5-1DCB-40CE-B276-AD51D9FC7C3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362" name="BC$K$266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5F798A9-D817-4F3A-A208-4E6E49D01D3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364" name="BC$K$266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3B94423-08EB-42D4-8357-B660AFF230D3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366" name="BC$K$266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A72B9F0-2683-4A7F-B6DE-2B1461B2FBF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368" name="BC$K$266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B5C7D41-79C7-49F2-B81A-13FB7F17C27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370" name="BC$K$266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0642470-5CAC-4246-88E1-F936CB430D4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372" name="BC$K$266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C78109C-2042-486F-B952-BBE195CA57A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374" name="BC$K$266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1E15295-8CAF-4F79-9D03-19867DB0A60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376" name="BC$K$266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B5B0EEA-938E-4B02-9148-7A8B683CF45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378" name="BC$K$266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8F9D9E8-E2AF-46DC-B4FE-E3FD8A8E91B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380" name="BC$K$266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D8CE20F-FF00-40FC-BE1F-C2663741EE18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382" name="BC$K$266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3F82B74-B8A6-4DB9-9A21-0FB6C354D5AC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384" name="BC$K$266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3FEE4FA-6906-4460-8EF7-3AE5A7A51E48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386" name="BC$K$266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3F36ADC-8883-47D5-9321-8F72CF1E10F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388" name="BC$K$266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EA35BF7-5249-40B9-8D02-F68AABE8113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390" name="BC$K$266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02AF35C-10A4-4BD2-8239-3C974511DF08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392" name="BC$K$266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C1852A3-1F33-496D-9088-7E2AA37B45AC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394" name="BC$K$266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00E5092-D818-43B4-A704-7C97E21AE749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396" name="BC$K$266#BR24">
                                      <a:extLst>
                                        <a:ext uri="{FF2B5EF4-FFF2-40B4-BE49-F238E27FC236}">
                                          <a16:creationId xmlns:a16="http://schemas.microsoft.com/office/drawing/2014/main" id="{E514868F-5B78-4A2B-88B7-206B12C7D96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398" name="BC$K$266#BR25">
                                    <a:extLst>
                                      <a:ext uri="{FF2B5EF4-FFF2-40B4-BE49-F238E27FC236}">
                                        <a16:creationId xmlns:a16="http://schemas.microsoft.com/office/drawing/2014/main" id="{1C679CA2-381A-40E4-B034-3FACA75FD6E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400" name="BC$K$266#BR26">
                                  <a:extLst>
                                    <a:ext uri="{FF2B5EF4-FFF2-40B4-BE49-F238E27FC236}">
                                      <a16:creationId xmlns:a16="http://schemas.microsoft.com/office/drawing/2014/main" id="{B38605E6-B5A5-48F7-9848-5EA4C24707B2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402" name="BC$K$266#BR27">
                                <a:extLst>
                                  <a:ext uri="{FF2B5EF4-FFF2-40B4-BE49-F238E27FC236}">
                                    <a16:creationId xmlns:a16="http://schemas.microsoft.com/office/drawing/2014/main" id="{0CC90A09-F54E-4076-AAB3-7E12B62471EC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404" name="BC$K$266#BR28">
                              <a:extLst>
                                <a:ext uri="{FF2B5EF4-FFF2-40B4-BE49-F238E27FC236}">
                                  <a16:creationId xmlns:a16="http://schemas.microsoft.com/office/drawing/2014/main" id="{661E426E-B912-4974-AD74-D20361A7512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406" name="BC$K$266#BR29">
                            <a:extLst>
                              <a:ext uri="{FF2B5EF4-FFF2-40B4-BE49-F238E27FC236}">
                                <a16:creationId xmlns:a16="http://schemas.microsoft.com/office/drawing/2014/main" id="{CBC2383C-3ABB-47C7-B85C-573BBDEE229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8408" name="BC$K$266#BR30">
                          <a:extLst>
                            <a:ext uri="{FF2B5EF4-FFF2-40B4-BE49-F238E27FC236}">
                              <a16:creationId xmlns:a16="http://schemas.microsoft.com/office/drawing/2014/main" id="{110C4CFF-72C0-4C8B-A8D2-1270378D62F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8410" name="BC$K$266#BR31">
                        <a:extLst>
                          <a:ext uri="{FF2B5EF4-FFF2-40B4-BE49-F238E27FC236}">
                            <a16:creationId xmlns:a16="http://schemas.microsoft.com/office/drawing/2014/main" id="{D2FCF702-A67A-47F8-9771-CE3B428BC6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8412" name="BC$K$266#BR32">
                      <a:extLst>
                        <a:ext uri="{FF2B5EF4-FFF2-40B4-BE49-F238E27FC236}">
                          <a16:creationId xmlns:a16="http://schemas.microsoft.com/office/drawing/2014/main" id="{58AB775A-EF0E-45AC-8DED-943202C445B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8414" name="BC$K$266#BR33">
                    <a:extLst>
                      <a:ext uri="{FF2B5EF4-FFF2-40B4-BE49-F238E27FC236}">
                        <a16:creationId xmlns:a16="http://schemas.microsoft.com/office/drawing/2014/main" id="{29275CDC-8F2F-47A1-9814-AE271AA806C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8416" name="BC$K$266#BR34">
                  <a:extLst>
                    <a:ext uri="{FF2B5EF4-FFF2-40B4-BE49-F238E27FC236}">
                      <a16:creationId xmlns:a16="http://schemas.microsoft.com/office/drawing/2014/main" id="{EAECAA01-7907-4C47-A2D1-4FE7F70A4D5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8418" name="BC$K$266#BR35">
                <a:extLst>
                  <a:ext uri="{FF2B5EF4-FFF2-40B4-BE49-F238E27FC236}">
                    <a16:creationId xmlns:a16="http://schemas.microsoft.com/office/drawing/2014/main" id="{A3A89AC4-0469-4EF3-86EF-6DA6C14BC183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420" name="BC$K$266#BR36">
              <a:extLst>
                <a:ext uri="{FF2B5EF4-FFF2-40B4-BE49-F238E27FC236}">
                  <a16:creationId xmlns:a16="http://schemas.microsoft.com/office/drawing/2014/main" id="{167E38F3-5D99-4575-A9D2-F570638945D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422" name="BC$K$266#BR37">
            <a:extLst>
              <a:ext uri="{FF2B5EF4-FFF2-40B4-BE49-F238E27FC236}">
                <a16:creationId xmlns:a16="http://schemas.microsoft.com/office/drawing/2014/main" id="{6D9AAAB1-9BF2-4B59-A804-0A4D13D2961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283</xdr:row>
      <xdr:rowOff>0</xdr:rowOff>
    </xdr:from>
    <xdr:to>
      <xdr:col>13</xdr:col>
      <xdr:colOff>200025</xdr:colOff>
      <xdr:row>285</xdr:row>
      <xdr:rowOff>0</xdr:rowOff>
    </xdr:to>
    <xdr:grpSp>
      <xdr:nvGrpSpPr>
        <xdr:cNvPr id="9248" name="BC$K$277#GR">
          <a:extLst>
            <a:ext uri="{FF2B5EF4-FFF2-40B4-BE49-F238E27FC236}">
              <a16:creationId xmlns:a16="http://schemas.microsoft.com/office/drawing/2014/main" id="{8B8E8C58-8514-4DA1-A91F-3EFF98CBCF04}"/>
            </a:ext>
          </a:extLst>
        </xdr:cNvPr>
        <xdr:cNvGrpSpPr/>
      </xdr:nvGrpSpPr>
      <xdr:grpSpPr>
        <a:xfrm>
          <a:off x="2667000" y="53816250"/>
          <a:ext cx="381000" cy="381000"/>
          <a:chOff x="0" y="0"/>
          <a:chExt cx="381000" cy="381000"/>
        </a:xfrm>
      </xdr:grpSpPr>
      <xdr:grpSp>
        <xdr:nvGrpSpPr>
          <xdr:cNvPr id="9246" name="BC$K$277#GR">
            <a:extLst>
              <a:ext uri="{FF2B5EF4-FFF2-40B4-BE49-F238E27FC236}">
                <a16:creationId xmlns:a16="http://schemas.microsoft.com/office/drawing/2014/main" id="{1EBB952F-D44E-4A35-AB84-42AAF840587B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244" name="BC$K$277#GR">
              <a:extLst>
                <a:ext uri="{FF2B5EF4-FFF2-40B4-BE49-F238E27FC236}">
                  <a16:creationId xmlns:a16="http://schemas.microsoft.com/office/drawing/2014/main" id="{936BE2ED-FE96-490E-82AF-36D6A23F9D8F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242" name="BC$K$277#GR">
                <a:extLst>
                  <a:ext uri="{FF2B5EF4-FFF2-40B4-BE49-F238E27FC236}">
                    <a16:creationId xmlns:a16="http://schemas.microsoft.com/office/drawing/2014/main" id="{DFC403E6-0702-4C50-A494-266A79EE6E2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240" name="BC$K$277#GR">
                  <a:extLst>
                    <a:ext uri="{FF2B5EF4-FFF2-40B4-BE49-F238E27FC236}">
                      <a16:creationId xmlns:a16="http://schemas.microsoft.com/office/drawing/2014/main" id="{16329B11-12FC-4950-A8FF-D91B4D5F5CD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238" name="BC$K$277#GR">
                    <a:extLst>
                      <a:ext uri="{FF2B5EF4-FFF2-40B4-BE49-F238E27FC236}">
                        <a16:creationId xmlns:a16="http://schemas.microsoft.com/office/drawing/2014/main" id="{A42A3DE5-9CA6-4836-9258-72A533EBFF5D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236" name="BC$K$277#GR">
                      <a:extLst>
                        <a:ext uri="{FF2B5EF4-FFF2-40B4-BE49-F238E27FC236}">
                          <a16:creationId xmlns:a16="http://schemas.microsoft.com/office/drawing/2014/main" id="{95DB1201-E141-40AC-AE67-2FBE1064F86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234" name="BC$K$277#GR">
                        <a:extLst>
                          <a:ext uri="{FF2B5EF4-FFF2-40B4-BE49-F238E27FC236}">
                            <a16:creationId xmlns:a16="http://schemas.microsoft.com/office/drawing/2014/main" id="{34B89D27-6488-4AEF-A329-7CCE0158EB1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232" name="BC$K$277#GR">
                          <a:extLst>
                            <a:ext uri="{FF2B5EF4-FFF2-40B4-BE49-F238E27FC236}">
                              <a16:creationId xmlns:a16="http://schemas.microsoft.com/office/drawing/2014/main" id="{547ED37C-0D3A-4CE4-B159-272A2676315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230" name="BC$K$277#GR">
                            <a:extLst>
                              <a:ext uri="{FF2B5EF4-FFF2-40B4-BE49-F238E27FC236}">
                                <a16:creationId xmlns:a16="http://schemas.microsoft.com/office/drawing/2014/main" id="{750208A2-9A0B-4998-A3C7-BDE74A15867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228" name="BC$K$277#GR">
                              <a:extLst>
                                <a:ext uri="{FF2B5EF4-FFF2-40B4-BE49-F238E27FC236}">
                                  <a16:creationId xmlns:a16="http://schemas.microsoft.com/office/drawing/2014/main" id="{13C7EF26-C077-472D-960A-0BC747E46B12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226" name="BC$K$277#GR">
                                <a:extLst>
                                  <a:ext uri="{FF2B5EF4-FFF2-40B4-BE49-F238E27FC236}">
                                    <a16:creationId xmlns:a16="http://schemas.microsoft.com/office/drawing/2014/main" id="{1A8D2F9C-1A91-4B69-BAD0-A58AC467B20E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224" name="BC$K$277#GR">
                                  <a:extLst>
                                    <a:ext uri="{FF2B5EF4-FFF2-40B4-BE49-F238E27FC236}">
                                      <a16:creationId xmlns:a16="http://schemas.microsoft.com/office/drawing/2014/main" id="{87E0D830-0111-454D-A570-9E4DD0323E8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222" name="BC$K$277#GR">
                                    <a:extLst>
                                      <a:ext uri="{FF2B5EF4-FFF2-40B4-BE49-F238E27FC236}">
                                        <a16:creationId xmlns:a16="http://schemas.microsoft.com/office/drawing/2014/main" id="{8C852053-AB9F-4950-9D9D-5C35114EB4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220" name="BC$K$277#GR">
                                      <a:extLst>
                                        <a:ext uri="{FF2B5EF4-FFF2-40B4-BE49-F238E27FC236}">
                                          <a16:creationId xmlns:a16="http://schemas.microsoft.com/office/drawing/2014/main" id="{AD9E510A-2E66-47A1-A814-B20C82DA8B3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218" name="BC$K$27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4A79461-1C7D-4821-8E11-CA6B40E7877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216" name="BC$K$27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B3580AA-15C1-4C92-A6A0-464D32241F5D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214" name="BC$K$27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75C7D98-0AD9-4237-BF40-5025844753F7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212" name="BC$K$27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5BB552C-94BA-479D-AF67-E7CFC4D8E24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210" name="BC$K$27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52ABA4D-40D3-476F-B911-0ED58A57F98E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208" name="BC$K$27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5387201-1410-4390-8FFA-7B3F7B1EBA9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206" name="BC$K$27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D5BA981-A4A7-4872-BE96-E4D21EA1C20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204" name="BC$K$27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8535D24-98BD-41AE-995F-8D623FF5A3BA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202" name="BC$K$27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7283ECA-D543-43AB-901C-9F781EC6A231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200" name="BC$K$27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FE54109-A5CE-4494-9518-B69730B5B67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198" name="BC$K$27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6D22F16-BF9B-44DF-9C95-6A217082BA0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196" name="BC$K$27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5C717DF-17A3-4800-A175-7456F2E423B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194" name="BC$K$27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160E4E1-93B2-487C-A36A-20E68675ADA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192" name="BC$K$27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2FEDCED-7463-48A2-B566-BBFF7E3CC0D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190" name="BC$K$27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48890E9-BD6B-432A-96BA-248FE7C30D1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188" name="BC$K$27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4E98BB0-734B-42AF-BC46-B1D19F92C58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186" name="BC$K$27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327ADA5-1000-43FD-B05A-0ADE945FBED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184" name="BC$K$27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DAFF1A2-7735-495E-92FF-B36550455D1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182" name="BC$K$27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63F02A3-A2D2-4B35-93D9-EE2B0FB9367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180" name="BC$K$27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FD8A2EF-971C-4C12-BD82-8A0379B48D2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178" name="BC$K$27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AB65F4D-334C-481B-A605-5B18B38971C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176" name="BC$K$27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2C2A713-A5A8-4F9A-9FF0-33B2D5C14E2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174" name="BC$K$277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ABB94D2-C465-4E64-AC11-58A129C8FD1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175" name="BC$K$277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AB2E573-8995-4341-8C68-FBCB6FB4925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177" name="BC$K$277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75EF9BB-DE49-4DC3-8BC5-F7F48B3843C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179" name="BC$K$277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0137F76-A907-44D3-81C5-387BC280D13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181" name="BC$K$277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F480995-8D09-4BC3-A5EA-A59DA56F073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183" name="BC$K$277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BF9B56E-E17B-45E0-BBD6-A4C765436D5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185" name="BC$K$277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0D6F8EA-0466-427D-9A9B-11602A3B2C7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187" name="BC$K$277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6D21026-E570-4049-BB8E-1528AFCC276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189" name="BC$K$277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813BBBC-4691-489F-9AEB-BBD80FF1831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191" name="BC$K$277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7CB3A79-FFCD-43B7-A3A5-20475AA7451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193" name="BC$K$277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436566D-50B7-429F-B394-9706C665984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195" name="BC$K$277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1A0D645-A622-474F-B02C-B7ADF4AE9F6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197" name="BC$K$277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5CACE47-7EEA-4005-BE10-A027BF8383F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199" name="BC$K$277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D55ED1E-50AB-4541-897E-2746A186A9C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201" name="BC$K$277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F1C98D7-107F-472D-A36A-87B27A0255D9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203" name="BC$K$277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E0B2ABA-F88A-4DEC-A42D-37C3598E1BF5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205" name="BC$K$277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EE356CE-F81E-4A83-8716-B4D0DE0D062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207" name="BC$K$277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3E331C6-59EC-45AA-8A15-3FC64EBE849C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209" name="BC$K$277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126FCB1-1568-48C9-9F62-D87E8446236D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211" name="BC$K$277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04ED44F-2E81-45DA-80FA-6500211BB11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213" name="BC$K$277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959FF8BD-9F6D-4B42-8A7F-58443207700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215" name="BC$K$277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8204057-4329-4DAB-88BB-AFE8443DE4A3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217" name="BC$K$277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0C2D388-9DDC-4A64-A119-C406314F5B5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219" name="BC$K$277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94A1446-01F0-4F8C-B4A3-EACE572416C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221" name="BC$K$277#BR24">
                                      <a:extLst>
                                        <a:ext uri="{FF2B5EF4-FFF2-40B4-BE49-F238E27FC236}">
                                          <a16:creationId xmlns:a16="http://schemas.microsoft.com/office/drawing/2014/main" id="{9A81B77C-EA0A-4152-9506-50B7C1BA0843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223" name="BC$K$277#BR25">
                                    <a:extLst>
                                      <a:ext uri="{FF2B5EF4-FFF2-40B4-BE49-F238E27FC236}">
                                        <a16:creationId xmlns:a16="http://schemas.microsoft.com/office/drawing/2014/main" id="{1BE0A9B5-F1C1-41C9-BCCF-DBB7D1FD8BA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225" name="BC$K$277#BR26">
                                  <a:extLst>
                                    <a:ext uri="{FF2B5EF4-FFF2-40B4-BE49-F238E27FC236}">
                                      <a16:creationId xmlns:a16="http://schemas.microsoft.com/office/drawing/2014/main" id="{BAEF89BC-F1D5-4552-880C-7F06F5ACC5B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227" name="BC$K$277#BR27">
                                <a:extLst>
                                  <a:ext uri="{FF2B5EF4-FFF2-40B4-BE49-F238E27FC236}">
                                    <a16:creationId xmlns:a16="http://schemas.microsoft.com/office/drawing/2014/main" id="{1FBE3BCB-6B93-4E0B-9C58-98354E1B6BB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229" name="BC$K$277#BR28">
                              <a:extLst>
                                <a:ext uri="{FF2B5EF4-FFF2-40B4-BE49-F238E27FC236}">
                                  <a16:creationId xmlns:a16="http://schemas.microsoft.com/office/drawing/2014/main" id="{72497814-0176-449D-9AE5-A3E01CF9C8A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231" name="BC$K$277#BR29">
                            <a:extLst>
                              <a:ext uri="{FF2B5EF4-FFF2-40B4-BE49-F238E27FC236}">
                                <a16:creationId xmlns:a16="http://schemas.microsoft.com/office/drawing/2014/main" id="{D7ADB773-9F0A-489F-9072-A5B25DF1F0DE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233" name="BC$K$277#BR30">
                          <a:extLst>
                            <a:ext uri="{FF2B5EF4-FFF2-40B4-BE49-F238E27FC236}">
                              <a16:creationId xmlns:a16="http://schemas.microsoft.com/office/drawing/2014/main" id="{AFB89CE5-7434-4CC1-B932-8295C449A60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235" name="BC$K$277#BR31">
                        <a:extLst>
                          <a:ext uri="{FF2B5EF4-FFF2-40B4-BE49-F238E27FC236}">
                            <a16:creationId xmlns:a16="http://schemas.microsoft.com/office/drawing/2014/main" id="{B39874CB-3C27-4D85-993B-E004E6490D9B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237" name="BC$K$277#BR32">
                      <a:extLst>
                        <a:ext uri="{FF2B5EF4-FFF2-40B4-BE49-F238E27FC236}">
                          <a16:creationId xmlns:a16="http://schemas.microsoft.com/office/drawing/2014/main" id="{A5FFBC0E-F414-4D5E-BD09-184A39D0FB1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239" name="BC$K$277#BR33">
                    <a:extLst>
                      <a:ext uri="{FF2B5EF4-FFF2-40B4-BE49-F238E27FC236}">
                        <a16:creationId xmlns:a16="http://schemas.microsoft.com/office/drawing/2014/main" id="{114B5557-6AB0-4CD0-B052-0CFF1174E1A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241" name="BC$K$277#BR34">
                  <a:extLst>
                    <a:ext uri="{FF2B5EF4-FFF2-40B4-BE49-F238E27FC236}">
                      <a16:creationId xmlns:a16="http://schemas.microsoft.com/office/drawing/2014/main" id="{AAE00497-D940-4882-B987-3C9664FE2B50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243" name="BC$K$277#BR35">
                <a:extLst>
                  <a:ext uri="{FF2B5EF4-FFF2-40B4-BE49-F238E27FC236}">
                    <a16:creationId xmlns:a16="http://schemas.microsoft.com/office/drawing/2014/main" id="{8B545E06-A18D-44B0-ABB5-C9FBF3BD582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245" name="BC$K$277#BR36">
              <a:extLst>
                <a:ext uri="{FF2B5EF4-FFF2-40B4-BE49-F238E27FC236}">
                  <a16:creationId xmlns:a16="http://schemas.microsoft.com/office/drawing/2014/main" id="{D7B9516C-5CF0-4D6D-B8BC-5E57AF32DA6F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247" name="BC$K$277#BR37">
            <a:extLst>
              <a:ext uri="{FF2B5EF4-FFF2-40B4-BE49-F238E27FC236}">
                <a16:creationId xmlns:a16="http://schemas.microsoft.com/office/drawing/2014/main" id="{414DD847-773F-47D5-AC45-13900518148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283</xdr:row>
      <xdr:rowOff>0</xdr:rowOff>
    </xdr:from>
    <xdr:to>
      <xdr:col>27</xdr:col>
      <xdr:colOff>190500</xdr:colOff>
      <xdr:row>285</xdr:row>
      <xdr:rowOff>0</xdr:rowOff>
    </xdr:to>
    <xdr:grpSp>
      <xdr:nvGrpSpPr>
        <xdr:cNvPr id="9323" name="BC$Y$277#GR">
          <a:extLst>
            <a:ext uri="{FF2B5EF4-FFF2-40B4-BE49-F238E27FC236}">
              <a16:creationId xmlns:a16="http://schemas.microsoft.com/office/drawing/2014/main" id="{8B7CBB2E-2F6F-4D00-A031-9AF6A721FE8B}"/>
            </a:ext>
          </a:extLst>
        </xdr:cNvPr>
        <xdr:cNvGrpSpPr/>
      </xdr:nvGrpSpPr>
      <xdr:grpSpPr>
        <a:xfrm>
          <a:off x="5772150" y="53816250"/>
          <a:ext cx="381000" cy="381000"/>
          <a:chOff x="0" y="0"/>
          <a:chExt cx="381000" cy="381000"/>
        </a:xfrm>
      </xdr:grpSpPr>
      <xdr:grpSp>
        <xdr:nvGrpSpPr>
          <xdr:cNvPr id="9321" name="BC$Y$277#GR">
            <a:extLst>
              <a:ext uri="{FF2B5EF4-FFF2-40B4-BE49-F238E27FC236}">
                <a16:creationId xmlns:a16="http://schemas.microsoft.com/office/drawing/2014/main" id="{0F4EC905-A86F-4777-A1CF-84F0223EE31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319" name="BC$Y$277#GR">
              <a:extLst>
                <a:ext uri="{FF2B5EF4-FFF2-40B4-BE49-F238E27FC236}">
                  <a16:creationId xmlns:a16="http://schemas.microsoft.com/office/drawing/2014/main" id="{3FAEB3E0-ABCD-4CD6-BD55-88019DD92EB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317" name="BC$Y$277#GR">
                <a:extLst>
                  <a:ext uri="{FF2B5EF4-FFF2-40B4-BE49-F238E27FC236}">
                    <a16:creationId xmlns:a16="http://schemas.microsoft.com/office/drawing/2014/main" id="{BCBB943B-541D-4020-A2B0-39E49AE07D36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315" name="BC$Y$277#GR">
                  <a:extLst>
                    <a:ext uri="{FF2B5EF4-FFF2-40B4-BE49-F238E27FC236}">
                      <a16:creationId xmlns:a16="http://schemas.microsoft.com/office/drawing/2014/main" id="{8B022BBB-254B-4A82-8B15-68D5E0077BF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313" name="BC$Y$277#GR">
                    <a:extLst>
                      <a:ext uri="{FF2B5EF4-FFF2-40B4-BE49-F238E27FC236}">
                        <a16:creationId xmlns:a16="http://schemas.microsoft.com/office/drawing/2014/main" id="{FCD9A319-910C-409C-8A26-9FE65C43B71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311" name="BC$Y$277#GR">
                      <a:extLst>
                        <a:ext uri="{FF2B5EF4-FFF2-40B4-BE49-F238E27FC236}">
                          <a16:creationId xmlns:a16="http://schemas.microsoft.com/office/drawing/2014/main" id="{2F37C968-3487-4E05-A229-17C1358E09E4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309" name="BC$Y$277#GR">
                        <a:extLst>
                          <a:ext uri="{FF2B5EF4-FFF2-40B4-BE49-F238E27FC236}">
                            <a16:creationId xmlns:a16="http://schemas.microsoft.com/office/drawing/2014/main" id="{1CED9915-2064-4325-BECF-534CA289712E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307" name="BC$Y$277#GR">
                          <a:extLst>
                            <a:ext uri="{FF2B5EF4-FFF2-40B4-BE49-F238E27FC236}">
                              <a16:creationId xmlns:a16="http://schemas.microsoft.com/office/drawing/2014/main" id="{D01CCAD9-A285-476F-B4C6-5F69DE68F87F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305" name="BC$Y$277#GR">
                            <a:extLst>
                              <a:ext uri="{FF2B5EF4-FFF2-40B4-BE49-F238E27FC236}">
                                <a16:creationId xmlns:a16="http://schemas.microsoft.com/office/drawing/2014/main" id="{6297C23F-1967-43E3-BE8A-47B1BC2AC32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303" name="BC$Y$277#GR">
                              <a:extLst>
                                <a:ext uri="{FF2B5EF4-FFF2-40B4-BE49-F238E27FC236}">
                                  <a16:creationId xmlns:a16="http://schemas.microsoft.com/office/drawing/2014/main" id="{37B5C8B4-4CA6-473D-A526-59C9B14FD22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301" name="BC$Y$277#GR">
                                <a:extLst>
                                  <a:ext uri="{FF2B5EF4-FFF2-40B4-BE49-F238E27FC236}">
                                    <a16:creationId xmlns:a16="http://schemas.microsoft.com/office/drawing/2014/main" id="{0318AE83-82DD-4BAC-BAE1-614848D5599D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299" name="BC$Y$277#GR">
                                  <a:extLst>
                                    <a:ext uri="{FF2B5EF4-FFF2-40B4-BE49-F238E27FC236}">
                                      <a16:creationId xmlns:a16="http://schemas.microsoft.com/office/drawing/2014/main" id="{8D2E061E-6001-4781-B349-F1E3E502F34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297" name="BC$Y$277#GR">
                                    <a:extLst>
                                      <a:ext uri="{FF2B5EF4-FFF2-40B4-BE49-F238E27FC236}">
                                        <a16:creationId xmlns:a16="http://schemas.microsoft.com/office/drawing/2014/main" id="{AC855055-54C3-4542-ACAF-77C9FDC07E56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295" name="BC$Y$277#GR">
                                      <a:extLst>
                                        <a:ext uri="{FF2B5EF4-FFF2-40B4-BE49-F238E27FC236}">
                                          <a16:creationId xmlns:a16="http://schemas.microsoft.com/office/drawing/2014/main" id="{2A00110D-B108-490D-9F47-2675A5397B3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293" name="BC$Y$27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6B94D0A-F37A-494F-9517-7BB278C28439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291" name="BC$Y$27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C0D3551-2341-4DAD-A52C-4900C9779F4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289" name="BC$Y$27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EECF946-BD86-4394-A9C5-D7F827443E6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287" name="BC$Y$27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52C70F8-A23E-46A0-B049-564612707BBE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285" name="BC$Y$27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A7EFCD6-9B63-43E6-A937-D2DB97AF346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283" name="BC$Y$27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8271FCC-6B4A-4435-A3D6-EF323E4A8CA6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281" name="BC$Y$27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E179171-175E-4A53-8B75-279343C40C3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279" name="BC$Y$27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6AA0429-638C-4642-ABD5-9B4E1B99B7D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277" name="BC$Y$27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8891199-734F-4BDC-94DF-248BB2F2806F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275" name="BC$Y$27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90BA62D-3FFD-472F-B3D0-C138D6F5DB0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273" name="BC$Y$27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137E093-F880-42D2-A9C5-8EA9BCE3DD6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271" name="BC$Y$27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EFEDD38-3991-41B7-8996-D98A48F04B8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269" name="BC$Y$27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EBA3430-7C21-4F12-9454-6570442F985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267" name="BC$Y$27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8889A2B-0978-4756-93DD-B0041A5F1A6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265" name="BC$Y$27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19136DB-41A3-4D90-9681-B3FDE55BDE4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263" name="BC$Y$27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FA3360A-AF40-43B7-BE3E-B8BB749B537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261" name="BC$Y$27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C2C1FF8-2CA4-4C47-8DA6-856E516FA32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259" name="BC$Y$27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39A6E9E-A9FB-455C-9846-B218D211781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257" name="BC$Y$27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73F471B-9745-49B2-94FC-763EB885411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255" name="BC$Y$27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EAC8585-925A-4B7A-A491-8F25528B1C3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253" name="BC$Y$27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82B7E67-02FE-429C-B811-925E5E591D0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251" name="BC$Y$27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28B0951-60AE-4BFD-B34D-F6C99401312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249" name="BC$Y$277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A8CBCE6-0BEF-48F2-9713-6ED23839C1D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250" name="BC$Y$277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8856B3D-0544-4C98-9E21-E6213648BA9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252" name="BC$Y$277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CC1641F-4182-4188-9DBA-07AE70EE5A0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254" name="BC$Y$277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25D9BF2-5C9A-430C-930B-08B32FE41C6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256" name="BC$Y$277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CADCC98-F85D-456A-8916-63AC79DB8D7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258" name="BC$Y$277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8362049-E396-45DC-A33B-DFCBA4F7634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260" name="BC$Y$277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F154AA9-041A-42F1-A299-29C3C7E4F01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262" name="BC$Y$277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AD9F913-73BE-45AE-BF98-85D139424B9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264" name="BC$Y$277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7D769BC-8DE3-4335-B21D-78B0380A001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266" name="BC$Y$277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1A34A3E-6E77-4424-B3C6-2BC693E0562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268" name="BC$Y$277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E0F7BA7-C7CB-4FD2-9925-FB78DCF445B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270" name="BC$Y$277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F801CDF-988B-4BFE-8883-97B3A556A20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272" name="BC$Y$277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0006F17-B935-4FAD-8177-1F7E799AB37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274" name="BC$Y$277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860A58F-DCC5-481F-A13C-1614C510332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276" name="BC$Y$277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9D486A5-6BA6-49B6-A574-03660AFE36B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278" name="BC$Y$277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26D41FC-4110-43E5-BAD6-A30299858AE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280" name="BC$Y$277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ED08B3B-6C52-4732-A5BC-7E97127D73F3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282" name="BC$Y$277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42CEC39-8C67-489D-BD0E-062A1CFC695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284" name="BC$Y$277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9E094E9-98D8-4861-8627-FA111E6378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286" name="BC$Y$277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1D9A537-2894-4A31-8725-E51771554E36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288" name="BC$Y$277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B6AD2E8-1E88-4403-9A43-7FC9FEFE4A1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290" name="BC$Y$277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B6FB91B-A32E-4BA7-ADE9-0E8AD789F082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292" name="BC$Y$277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F2884C1-83C1-412C-B165-0AAB85C17935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294" name="BC$Y$277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3839F50-262C-48E2-AF0D-93EBD52D98C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296" name="BC$Y$277#BR24">
                                      <a:extLst>
                                        <a:ext uri="{FF2B5EF4-FFF2-40B4-BE49-F238E27FC236}">
                                          <a16:creationId xmlns:a16="http://schemas.microsoft.com/office/drawing/2014/main" id="{7DA76573-1577-48C4-90EA-201778AF5A5D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298" name="BC$Y$277#BR25">
                                    <a:extLst>
                                      <a:ext uri="{FF2B5EF4-FFF2-40B4-BE49-F238E27FC236}">
                                        <a16:creationId xmlns:a16="http://schemas.microsoft.com/office/drawing/2014/main" id="{162DDE75-F39C-410B-9C5A-4404E245D03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300" name="BC$Y$277#BR26">
                                  <a:extLst>
                                    <a:ext uri="{FF2B5EF4-FFF2-40B4-BE49-F238E27FC236}">
                                      <a16:creationId xmlns:a16="http://schemas.microsoft.com/office/drawing/2014/main" id="{45CAEAC6-17B8-4DF1-BFFB-6737BDCD2656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302" name="BC$Y$277#BR27">
                                <a:extLst>
                                  <a:ext uri="{FF2B5EF4-FFF2-40B4-BE49-F238E27FC236}">
                                    <a16:creationId xmlns:a16="http://schemas.microsoft.com/office/drawing/2014/main" id="{F9CBEC04-6FF2-4879-8AD2-8BAA62ECF03F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304" name="BC$Y$277#BR28">
                              <a:extLst>
                                <a:ext uri="{FF2B5EF4-FFF2-40B4-BE49-F238E27FC236}">
                                  <a16:creationId xmlns:a16="http://schemas.microsoft.com/office/drawing/2014/main" id="{1E62EDAF-D61F-42E7-A1BC-A525F96B822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306" name="BC$Y$277#BR29">
                            <a:extLst>
                              <a:ext uri="{FF2B5EF4-FFF2-40B4-BE49-F238E27FC236}">
                                <a16:creationId xmlns:a16="http://schemas.microsoft.com/office/drawing/2014/main" id="{1594FA03-DEC1-48B2-B6A6-AE3163B1F4F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308" name="BC$Y$277#BR30">
                          <a:extLst>
                            <a:ext uri="{FF2B5EF4-FFF2-40B4-BE49-F238E27FC236}">
                              <a16:creationId xmlns:a16="http://schemas.microsoft.com/office/drawing/2014/main" id="{E2F32A27-A49A-481A-A497-963FB73B3D8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310" name="BC$Y$277#BR31">
                        <a:extLst>
                          <a:ext uri="{FF2B5EF4-FFF2-40B4-BE49-F238E27FC236}">
                            <a16:creationId xmlns:a16="http://schemas.microsoft.com/office/drawing/2014/main" id="{976730AA-1062-44A7-BC92-29616A1ECC86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312" name="BC$Y$277#BR32">
                      <a:extLst>
                        <a:ext uri="{FF2B5EF4-FFF2-40B4-BE49-F238E27FC236}">
                          <a16:creationId xmlns:a16="http://schemas.microsoft.com/office/drawing/2014/main" id="{FC16A8DC-5642-42B8-B006-04853AB6CC9F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314" name="BC$Y$277#BR33">
                    <a:extLst>
                      <a:ext uri="{FF2B5EF4-FFF2-40B4-BE49-F238E27FC236}">
                        <a16:creationId xmlns:a16="http://schemas.microsoft.com/office/drawing/2014/main" id="{5486953D-067B-4E9C-B1CC-C1131DC4DE47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316" name="BC$Y$277#BR34">
                  <a:extLst>
                    <a:ext uri="{FF2B5EF4-FFF2-40B4-BE49-F238E27FC236}">
                      <a16:creationId xmlns:a16="http://schemas.microsoft.com/office/drawing/2014/main" id="{A1E1C7AC-358D-400A-8AC2-9CBF7A179C9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318" name="BC$Y$277#BR35">
                <a:extLst>
                  <a:ext uri="{FF2B5EF4-FFF2-40B4-BE49-F238E27FC236}">
                    <a16:creationId xmlns:a16="http://schemas.microsoft.com/office/drawing/2014/main" id="{F14AAAAC-603B-4F70-9FB9-0AE3486E214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320" name="BC$Y$277#BR36">
              <a:extLst>
                <a:ext uri="{FF2B5EF4-FFF2-40B4-BE49-F238E27FC236}">
                  <a16:creationId xmlns:a16="http://schemas.microsoft.com/office/drawing/2014/main" id="{8FE86C7C-FFA9-4D92-A3C0-53DCFF20595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322" name="BC$Y$277#BR37">
            <a:extLst>
              <a:ext uri="{FF2B5EF4-FFF2-40B4-BE49-F238E27FC236}">
                <a16:creationId xmlns:a16="http://schemas.microsoft.com/office/drawing/2014/main" id="{37C55743-F93A-4040-A9DA-B31936E54E1D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294</xdr:row>
      <xdr:rowOff>0</xdr:rowOff>
    </xdr:from>
    <xdr:to>
      <xdr:col>27</xdr:col>
      <xdr:colOff>190500</xdr:colOff>
      <xdr:row>296</xdr:row>
      <xdr:rowOff>0</xdr:rowOff>
    </xdr:to>
    <xdr:grpSp>
      <xdr:nvGrpSpPr>
        <xdr:cNvPr id="9398" name="BC$Y$288#GR">
          <a:extLst>
            <a:ext uri="{FF2B5EF4-FFF2-40B4-BE49-F238E27FC236}">
              <a16:creationId xmlns:a16="http://schemas.microsoft.com/office/drawing/2014/main" id="{5A386483-C9F2-408A-91A9-15072FE39863}"/>
            </a:ext>
          </a:extLst>
        </xdr:cNvPr>
        <xdr:cNvGrpSpPr/>
      </xdr:nvGrpSpPr>
      <xdr:grpSpPr>
        <a:xfrm>
          <a:off x="5772150" y="55911750"/>
          <a:ext cx="381000" cy="381000"/>
          <a:chOff x="0" y="0"/>
          <a:chExt cx="381000" cy="381000"/>
        </a:xfrm>
      </xdr:grpSpPr>
      <xdr:grpSp>
        <xdr:nvGrpSpPr>
          <xdr:cNvPr id="9396" name="BC$Y$288#GR">
            <a:extLst>
              <a:ext uri="{FF2B5EF4-FFF2-40B4-BE49-F238E27FC236}">
                <a16:creationId xmlns:a16="http://schemas.microsoft.com/office/drawing/2014/main" id="{CCDE3703-0681-4280-A788-DC4240C2562F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394" name="BC$Y$288#GR">
              <a:extLst>
                <a:ext uri="{FF2B5EF4-FFF2-40B4-BE49-F238E27FC236}">
                  <a16:creationId xmlns:a16="http://schemas.microsoft.com/office/drawing/2014/main" id="{56E0231E-CD93-4092-B1FF-87305F6472BA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392" name="BC$Y$288#GR">
                <a:extLst>
                  <a:ext uri="{FF2B5EF4-FFF2-40B4-BE49-F238E27FC236}">
                    <a16:creationId xmlns:a16="http://schemas.microsoft.com/office/drawing/2014/main" id="{825989D3-A1CA-440C-BE36-82B01356E9B9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390" name="BC$Y$288#GR">
                  <a:extLst>
                    <a:ext uri="{FF2B5EF4-FFF2-40B4-BE49-F238E27FC236}">
                      <a16:creationId xmlns:a16="http://schemas.microsoft.com/office/drawing/2014/main" id="{A11DE35F-C6DD-42B2-948A-4A8348D9CDE7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388" name="BC$Y$288#GR">
                    <a:extLst>
                      <a:ext uri="{FF2B5EF4-FFF2-40B4-BE49-F238E27FC236}">
                        <a16:creationId xmlns:a16="http://schemas.microsoft.com/office/drawing/2014/main" id="{EB3AB83E-EBD6-4D6F-8069-563773712282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386" name="BC$Y$288#GR">
                      <a:extLst>
                        <a:ext uri="{FF2B5EF4-FFF2-40B4-BE49-F238E27FC236}">
                          <a16:creationId xmlns:a16="http://schemas.microsoft.com/office/drawing/2014/main" id="{0B58F743-6756-4A6D-81F9-1B24380D9A8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384" name="BC$Y$288#GR">
                        <a:extLst>
                          <a:ext uri="{FF2B5EF4-FFF2-40B4-BE49-F238E27FC236}">
                            <a16:creationId xmlns:a16="http://schemas.microsoft.com/office/drawing/2014/main" id="{DDC8DF3E-F8E1-44D6-B9BB-A710F0A3A14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382" name="BC$Y$288#GR">
                          <a:extLst>
                            <a:ext uri="{FF2B5EF4-FFF2-40B4-BE49-F238E27FC236}">
                              <a16:creationId xmlns:a16="http://schemas.microsoft.com/office/drawing/2014/main" id="{E0823A72-04A3-40CC-9532-0A5625693B0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380" name="BC$Y$288#GR">
                            <a:extLst>
                              <a:ext uri="{FF2B5EF4-FFF2-40B4-BE49-F238E27FC236}">
                                <a16:creationId xmlns:a16="http://schemas.microsoft.com/office/drawing/2014/main" id="{CF2D676B-1A26-4D5F-85F5-0659CB47575B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378" name="BC$Y$288#GR">
                              <a:extLst>
                                <a:ext uri="{FF2B5EF4-FFF2-40B4-BE49-F238E27FC236}">
                                  <a16:creationId xmlns:a16="http://schemas.microsoft.com/office/drawing/2014/main" id="{6C916075-21DC-4072-B12F-C328DF5E7CF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376" name="BC$Y$288#GR">
                                <a:extLst>
                                  <a:ext uri="{FF2B5EF4-FFF2-40B4-BE49-F238E27FC236}">
                                    <a16:creationId xmlns:a16="http://schemas.microsoft.com/office/drawing/2014/main" id="{BDEDAB71-CAA6-47A0-B499-6C9A1E9ADBD9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374" name="BC$Y$288#GR">
                                  <a:extLst>
                                    <a:ext uri="{FF2B5EF4-FFF2-40B4-BE49-F238E27FC236}">
                                      <a16:creationId xmlns:a16="http://schemas.microsoft.com/office/drawing/2014/main" id="{88EEC410-E529-40B3-8B94-83AEA1053758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372" name="BC$Y$288#GR">
                                    <a:extLst>
                                      <a:ext uri="{FF2B5EF4-FFF2-40B4-BE49-F238E27FC236}">
                                        <a16:creationId xmlns:a16="http://schemas.microsoft.com/office/drawing/2014/main" id="{EA8DC93F-8DB2-49B2-A45C-23E9D85BE05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370" name="BC$Y$288#GR">
                                      <a:extLst>
                                        <a:ext uri="{FF2B5EF4-FFF2-40B4-BE49-F238E27FC236}">
                                          <a16:creationId xmlns:a16="http://schemas.microsoft.com/office/drawing/2014/main" id="{ECC8457D-2009-4CC2-B243-85E73E93193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368" name="BC$Y$28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5BAB7AB-2EE4-4588-AA8C-490C9E42434E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366" name="BC$Y$28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862C340-A3A7-412E-8D0E-EB61F2BF6E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364" name="BC$Y$28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4A6B2F0-EC84-4BAE-80FE-84373438909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362" name="BC$Y$28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A6FD57F-A65F-4165-BC24-9E25C0F3AB5F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360" name="BC$Y$28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5924807-76A2-4230-9FE0-142D96B908C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358" name="BC$Y$28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8764719-33F5-48E6-878E-475EF96461E4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356" name="BC$Y$28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BB097EC-69F8-4D0B-9599-0E8318E127A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354" name="BC$Y$28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7C2E3FD-98A5-4E36-8272-DF0C1BD69DFB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352" name="BC$Y$28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CE4079C-5F17-4049-A480-7908CDA04D76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350" name="BC$Y$28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20F64C4-9004-424D-96F6-87A1891B43C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348" name="BC$Y$28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89CE723-4654-4119-9D92-AB0EF670F34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346" name="BC$Y$28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CFBB74F-420B-46A9-B499-E14ADC3B60B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344" name="BC$Y$28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18C52D1-362D-40B4-9D02-B3370D0868A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342" name="BC$Y$28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4B60325-3FC8-4884-AEA5-0706B55D84D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340" name="BC$Y$28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7AF04FD-E5DC-4842-A778-708C9F86871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338" name="BC$Y$28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E4AE9D9-13B7-4269-AC3E-852221F389B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336" name="BC$Y$28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F2B7C6F-DC7C-4D53-89E9-CC1D75AB799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334" name="BC$Y$28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6FB161E-5866-43A4-88D6-C54510200C8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332" name="BC$Y$28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D6D0B93-D222-4263-9AC7-52333DB67D6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330" name="BC$Y$28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CA4BE9F-A255-4B1A-AEC2-32AA3165036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328" name="BC$Y$28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D0746F2-0F1B-44B6-AA80-F95E0678421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326" name="BC$Y$28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08C97ED-2E19-401E-B6D7-F484CC46B7D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324" name="BC$Y$288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1B0D35C-858A-47F0-A7C9-67D7BA4655F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325" name="BC$Y$288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1AEDF27-00BF-49F3-B54E-123628D9314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327" name="BC$Y$288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4D0D069-378A-4D2C-B616-E967EB7F8A93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329" name="BC$Y$288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4B8BB39-6B5B-43CB-BF83-CEE73573AAD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331" name="BC$Y$288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E5DFD2A-6CB2-4DCE-9E52-8B69AC16D081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333" name="BC$Y$288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F666998-5841-4575-AF83-8DBE622F46B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335" name="BC$Y$288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14CB4E8-3CE5-4B89-922F-8A866B57F6C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337" name="BC$Y$288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11BDBA4-9E03-4635-BC47-268F640E82E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339" name="BC$Y$288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6F5ADCF-8EAE-4E22-BACB-64DAE1160B7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341" name="BC$Y$288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ED56C4C-594A-4A80-9292-F446A2B0A29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343" name="BC$Y$288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9BA1AA9-F99E-475C-A645-812C3EB095B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345" name="BC$Y$288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BCA0992-53D9-417F-90A8-46BEE37C628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347" name="BC$Y$288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67625C7-CBBE-41B6-90DF-5CB2F35BE70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349" name="BC$Y$288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5F6A540-7FF6-4064-B3F0-EF321D0A61A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351" name="BC$Y$288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9BBEE16-AB98-426C-9229-F6D07F8C611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353" name="BC$Y$288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40AE2D0-BE6F-4E0F-804D-52489B37DB9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355" name="BC$Y$288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0E94AF3-C3C8-470F-AB63-6C61F079B0F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357" name="BC$Y$288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D23FCF2-D9FB-432B-B08E-F212E0A4387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359" name="BC$Y$288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060C326-E021-46FC-8DDD-34346DCAD50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361" name="BC$Y$288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D463333-235E-4D5A-B912-6C0F436815E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363" name="BC$Y$288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2D0978F-CE86-4C7C-8F74-C3B9A67CCFD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365" name="BC$Y$288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7D3A362-96B3-4D56-B80E-1A9E2F7519C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367" name="BC$Y$288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16CFED3-B63B-4AA9-AECE-9BE400FED18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369" name="BC$Y$288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EB8AA87-94E8-448A-B887-E737D1F747B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371" name="BC$Y$288#BR24">
                                      <a:extLst>
                                        <a:ext uri="{FF2B5EF4-FFF2-40B4-BE49-F238E27FC236}">
                                          <a16:creationId xmlns:a16="http://schemas.microsoft.com/office/drawing/2014/main" id="{014A55F9-4BEF-47FE-AA9A-1B91BF22B558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373" name="BC$Y$288#BR25">
                                    <a:extLst>
                                      <a:ext uri="{FF2B5EF4-FFF2-40B4-BE49-F238E27FC236}">
                                        <a16:creationId xmlns:a16="http://schemas.microsoft.com/office/drawing/2014/main" id="{6FD22016-A6BB-42ED-8A33-8EC4C1E6B74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375" name="BC$Y$288#BR26">
                                  <a:extLst>
                                    <a:ext uri="{FF2B5EF4-FFF2-40B4-BE49-F238E27FC236}">
                                      <a16:creationId xmlns:a16="http://schemas.microsoft.com/office/drawing/2014/main" id="{456F13C7-4AD0-4DFE-A8C3-30922F0FF99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377" name="BC$Y$288#BR27">
                                <a:extLst>
                                  <a:ext uri="{FF2B5EF4-FFF2-40B4-BE49-F238E27FC236}">
                                    <a16:creationId xmlns:a16="http://schemas.microsoft.com/office/drawing/2014/main" id="{E2E5B3F6-E931-4FAC-A96E-1A07DB8AB01F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379" name="BC$Y$288#BR28">
                              <a:extLst>
                                <a:ext uri="{FF2B5EF4-FFF2-40B4-BE49-F238E27FC236}">
                                  <a16:creationId xmlns:a16="http://schemas.microsoft.com/office/drawing/2014/main" id="{9E956EB5-C0A7-44C2-B68E-275A5FCB52F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381" name="BC$Y$288#BR29">
                            <a:extLst>
                              <a:ext uri="{FF2B5EF4-FFF2-40B4-BE49-F238E27FC236}">
                                <a16:creationId xmlns:a16="http://schemas.microsoft.com/office/drawing/2014/main" id="{B87B01C2-55C2-4354-AB85-9C316A59259E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383" name="BC$Y$288#BR30">
                          <a:extLst>
                            <a:ext uri="{FF2B5EF4-FFF2-40B4-BE49-F238E27FC236}">
                              <a16:creationId xmlns:a16="http://schemas.microsoft.com/office/drawing/2014/main" id="{3C1DA87D-0519-4099-BE2D-64B26A6D500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385" name="BC$Y$288#BR31">
                        <a:extLst>
                          <a:ext uri="{FF2B5EF4-FFF2-40B4-BE49-F238E27FC236}">
                            <a16:creationId xmlns:a16="http://schemas.microsoft.com/office/drawing/2014/main" id="{D25652FB-049F-47AF-A5B0-25FE55719CC9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387" name="BC$Y$288#BR32">
                      <a:extLst>
                        <a:ext uri="{FF2B5EF4-FFF2-40B4-BE49-F238E27FC236}">
                          <a16:creationId xmlns:a16="http://schemas.microsoft.com/office/drawing/2014/main" id="{CAC07ACE-181D-4590-97CC-880FAF948742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389" name="BC$Y$288#BR33">
                    <a:extLst>
                      <a:ext uri="{FF2B5EF4-FFF2-40B4-BE49-F238E27FC236}">
                        <a16:creationId xmlns:a16="http://schemas.microsoft.com/office/drawing/2014/main" id="{88C012F4-4151-4B5A-B78E-E4A502F762A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391" name="BC$Y$288#BR34">
                  <a:extLst>
                    <a:ext uri="{FF2B5EF4-FFF2-40B4-BE49-F238E27FC236}">
                      <a16:creationId xmlns:a16="http://schemas.microsoft.com/office/drawing/2014/main" id="{B10DDE9E-F846-49D7-B91F-50AC7FDACB9F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393" name="BC$Y$288#BR35">
                <a:extLst>
                  <a:ext uri="{FF2B5EF4-FFF2-40B4-BE49-F238E27FC236}">
                    <a16:creationId xmlns:a16="http://schemas.microsoft.com/office/drawing/2014/main" id="{24404AE0-5CB8-4AF7-846C-1474C12B791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395" name="BC$Y$288#BR36">
              <a:extLst>
                <a:ext uri="{FF2B5EF4-FFF2-40B4-BE49-F238E27FC236}">
                  <a16:creationId xmlns:a16="http://schemas.microsoft.com/office/drawing/2014/main" id="{8F618CBD-CDE7-4856-862E-9C481D23B96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397" name="BC$Y$288#BR37">
            <a:extLst>
              <a:ext uri="{FF2B5EF4-FFF2-40B4-BE49-F238E27FC236}">
                <a16:creationId xmlns:a16="http://schemas.microsoft.com/office/drawing/2014/main" id="{D318DD29-913D-4801-9768-6BB1F084C69D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294</xdr:row>
      <xdr:rowOff>0</xdr:rowOff>
    </xdr:from>
    <xdr:to>
      <xdr:col>13</xdr:col>
      <xdr:colOff>200025</xdr:colOff>
      <xdr:row>296</xdr:row>
      <xdr:rowOff>0</xdr:rowOff>
    </xdr:to>
    <xdr:grpSp>
      <xdr:nvGrpSpPr>
        <xdr:cNvPr id="9473" name="BC$K$288#GR">
          <a:extLst>
            <a:ext uri="{FF2B5EF4-FFF2-40B4-BE49-F238E27FC236}">
              <a16:creationId xmlns:a16="http://schemas.microsoft.com/office/drawing/2014/main" id="{50FC4730-FEF3-4D6B-A3C4-CB483CCC67DE}"/>
            </a:ext>
          </a:extLst>
        </xdr:cNvPr>
        <xdr:cNvGrpSpPr/>
      </xdr:nvGrpSpPr>
      <xdr:grpSpPr>
        <a:xfrm>
          <a:off x="2667000" y="55911750"/>
          <a:ext cx="381000" cy="381000"/>
          <a:chOff x="0" y="0"/>
          <a:chExt cx="381000" cy="381000"/>
        </a:xfrm>
      </xdr:grpSpPr>
      <xdr:grpSp>
        <xdr:nvGrpSpPr>
          <xdr:cNvPr id="9471" name="BC$K$288#GR">
            <a:extLst>
              <a:ext uri="{FF2B5EF4-FFF2-40B4-BE49-F238E27FC236}">
                <a16:creationId xmlns:a16="http://schemas.microsoft.com/office/drawing/2014/main" id="{CAF1AB69-0153-40B2-B9D6-02CC868DD9D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469" name="BC$K$288#GR">
              <a:extLst>
                <a:ext uri="{FF2B5EF4-FFF2-40B4-BE49-F238E27FC236}">
                  <a16:creationId xmlns:a16="http://schemas.microsoft.com/office/drawing/2014/main" id="{2B09E73C-B605-45BD-BB95-4BBBDC4D033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467" name="BC$K$288#GR">
                <a:extLst>
                  <a:ext uri="{FF2B5EF4-FFF2-40B4-BE49-F238E27FC236}">
                    <a16:creationId xmlns:a16="http://schemas.microsoft.com/office/drawing/2014/main" id="{4FF4AF76-BE2A-4E60-973F-9BAF38A2137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465" name="BC$K$288#GR">
                  <a:extLst>
                    <a:ext uri="{FF2B5EF4-FFF2-40B4-BE49-F238E27FC236}">
                      <a16:creationId xmlns:a16="http://schemas.microsoft.com/office/drawing/2014/main" id="{0A6F5248-9941-45A2-B91E-11EEBEAE935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463" name="BC$K$288#GR">
                    <a:extLst>
                      <a:ext uri="{FF2B5EF4-FFF2-40B4-BE49-F238E27FC236}">
                        <a16:creationId xmlns:a16="http://schemas.microsoft.com/office/drawing/2014/main" id="{6D5518F0-CFF9-4735-8048-D5147B6DCBD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461" name="BC$K$288#GR">
                      <a:extLst>
                        <a:ext uri="{FF2B5EF4-FFF2-40B4-BE49-F238E27FC236}">
                          <a16:creationId xmlns:a16="http://schemas.microsoft.com/office/drawing/2014/main" id="{99BD65C1-DF88-47C6-9B7A-66F872D0640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459" name="BC$K$288#GR">
                        <a:extLst>
                          <a:ext uri="{FF2B5EF4-FFF2-40B4-BE49-F238E27FC236}">
                            <a16:creationId xmlns:a16="http://schemas.microsoft.com/office/drawing/2014/main" id="{F2D21F06-BB51-42F2-A8EC-0CAFB9F7EE1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457" name="BC$K$288#GR">
                          <a:extLst>
                            <a:ext uri="{FF2B5EF4-FFF2-40B4-BE49-F238E27FC236}">
                              <a16:creationId xmlns:a16="http://schemas.microsoft.com/office/drawing/2014/main" id="{973E28CB-739E-4038-B518-162D652444C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455" name="BC$K$288#GR">
                            <a:extLst>
                              <a:ext uri="{FF2B5EF4-FFF2-40B4-BE49-F238E27FC236}">
                                <a16:creationId xmlns:a16="http://schemas.microsoft.com/office/drawing/2014/main" id="{F8628223-4353-4597-B5B8-A6B08FD73B1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453" name="BC$K$288#GR">
                              <a:extLst>
                                <a:ext uri="{FF2B5EF4-FFF2-40B4-BE49-F238E27FC236}">
                                  <a16:creationId xmlns:a16="http://schemas.microsoft.com/office/drawing/2014/main" id="{8AA516C1-5D29-4F24-8255-5F41AD2D135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451" name="BC$K$288#GR">
                                <a:extLst>
                                  <a:ext uri="{FF2B5EF4-FFF2-40B4-BE49-F238E27FC236}">
                                    <a16:creationId xmlns:a16="http://schemas.microsoft.com/office/drawing/2014/main" id="{264D2F89-769A-403C-9D8C-C12B3200FE0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449" name="BC$K$288#GR">
                                  <a:extLst>
                                    <a:ext uri="{FF2B5EF4-FFF2-40B4-BE49-F238E27FC236}">
                                      <a16:creationId xmlns:a16="http://schemas.microsoft.com/office/drawing/2014/main" id="{59185EA7-B714-4A11-BE88-479C999A8A4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447" name="BC$K$288#GR">
                                    <a:extLst>
                                      <a:ext uri="{FF2B5EF4-FFF2-40B4-BE49-F238E27FC236}">
                                        <a16:creationId xmlns:a16="http://schemas.microsoft.com/office/drawing/2014/main" id="{7117A00A-3907-4BFC-803C-82541141186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445" name="BC$K$288#GR">
                                      <a:extLst>
                                        <a:ext uri="{FF2B5EF4-FFF2-40B4-BE49-F238E27FC236}">
                                          <a16:creationId xmlns:a16="http://schemas.microsoft.com/office/drawing/2014/main" id="{CC8D6B35-A730-4DB9-8A96-047F14E73EFE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443" name="BC$K$28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0253110-A2A3-4C82-A15C-E07465A7BE4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441" name="BC$K$28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19EA49C-A592-4C7A-8316-767FB6F0908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439" name="BC$K$28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CC35ED3-6DB3-4627-A887-75AA01A7CC32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437" name="BC$K$28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F160515-BB82-454F-B6FC-4D1DA455566A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435" name="BC$K$28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B995E59-6F16-44CF-A04C-C3C4551EDE84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433" name="BC$K$28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B7E67CB-36CC-40DA-9AA1-314D1992FE38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431" name="BC$K$28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6D85E44-344B-4803-9B97-439670CD016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429" name="BC$K$28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3AC3D43-2E52-4DC1-8AC1-957569A8F65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427" name="BC$K$28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F0043CB-848E-4977-B76D-5D9172BD8AC8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425" name="BC$K$28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14E37AB-A4FA-45DC-980C-AE9836CF451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423" name="BC$K$28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9BEB6C1-5B23-40EC-81D4-B523CF22C45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421" name="BC$K$28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71E35D7-B53F-4E4A-B60A-6B14170D8DF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419" name="BC$K$28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6267035-EC77-4D7B-AD2D-60434F8664A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417" name="BC$K$28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E3D6C43-3B53-4EED-9D7C-45514C3761A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415" name="BC$K$28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8E9FA82-5BC2-4676-88DD-4313CD0B698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413" name="BC$K$28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4A32FFC-5909-4510-A216-4CF546519F8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411" name="BC$K$28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A18D9F9-9321-4168-ADDB-0EBEC2D80D1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409" name="BC$K$28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DDFC701-830F-4E38-886E-86A57F066A8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407" name="BC$K$28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C180993-2A23-4F6E-925A-1B8742DEADC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405" name="BC$K$28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A070F1F-E231-4226-9E11-2F01EE73470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403" name="BC$K$28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4A77C5F-23EF-4E58-B3DE-15752DAF402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401" name="BC$K$28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2A6A2A4-60DE-495F-AC61-CF44DB9C7C7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399" name="BC$K$288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A8D2D28-16D1-4CE6-8FBC-5F62B8793FB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400" name="BC$K$288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B40735C-22FE-4EB4-AB84-A49E06F090C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402" name="BC$K$288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6765603-70DA-45F8-9258-93A1FF96F03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404" name="BC$K$288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51A70A1-13F1-46C7-A634-90437B5DD11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406" name="BC$K$288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0D60207F-ED1C-4C9E-BD60-A8C0251AF2E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408" name="BC$K$288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1ABE127-BBD9-46A8-8926-FEF8631A7DC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410" name="BC$K$288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9E46368-1DC0-42C0-9DB6-945336077B4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412" name="BC$K$288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21C542D-59C5-4832-96F5-66F0C178D1C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414" name="BC$K$288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2D09AB4-2888-4395-85D4-E4B2787FEB4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416" name="BC$K$288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FF5348F-AD21-4E2B-9C25-83F78B27C18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418" name="BC$K$288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24D7D0A-0451-47B2-B54C-8078D52C8F6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420" name="BC$K$288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78CBCE1-D788-43A9-BE9B-F24A8CF0C4C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422" name="BC$K$288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6C85F4E-0BAA-4440-A0F6-02186FBE102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424" name="BC$K$288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59BCA09-FEE9-4BD4-8BB6-0214BB85C51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426" name="BC$K$288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2F9EE23-6C98-4ADE-9623-E9A5F9A64D41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428" name="BC$K$288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D6C41C6-166B-4441-BF25-D874B778F1E5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430" name="BC$K$288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793B78C-D7B4-458F-BCC0-03C2CE435D43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432" name="BC$K$288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6C10976-39CE-4EFB-A413-423E69A8E653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434" name="BC$K$288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DDF409F-14B6-4A26-9A1F-FC2B9CC13AD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436" name="BC$K$288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1EF1B36-CE4A-4126-99F0-F6C49186F81F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438" name="BC$K$288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CAD679E-1DF2-4609-BDF5-74034BE5AF7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440" name="BC$K$288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C853EDA-9E9F-49AD-B8B0-CDB07CD320FB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442" name="BC$K$288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A1407ED-F241-45C5-BBB4-AA873BBE92AC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444" name="BC$K$288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5E5A510-675F-46F0-AE71-11CDC2ACA22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446" name="BC$K$288#BR24">
                                      <a:extLst>
                                        <a:ext uri="{FF2B5EF4-FFF2-40B4-BE49-F238E27FC236}">
                                          <a16:creationId xmlns:a16="http://schemas.microsoft.com/office/drawing/2014/main" id="{36E0F025-F9D4-4F27-B6C9-4DC0EF547ED8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448" name="BC$K$288#BR25">
                                    <a:extLst>
                                      <a:ext uri="{FF2B5EF4-FFF2-40B4-BE49-F238E27FC236}">
                                        <a16:creationId xmlns:a16="http://schemas.microsoft.com/office/drawing/2014/main" id="{59F7A9A8-6CB8-46A4-B25F-726DBC24071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450" name="BC$K$288#BR26">
                                  <a:extLst>
                                    <a:ext uri="{FF2B5EF4-FFF2-40B4-BE49-F238E27FC236}">
                                      <a16:creationId xmlns:a16="http://schemas.microsoft.com/office/drawing/2014/main" id="{DF29C732-B0AE-42CA-92FA-5144C39143C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452" name="BC$K$288#BR27">
                                <a:extLst>
                                  <a:ext uri="{FF2B5EF4-FFF2-40B4-BE49-F238E27FC236}">
                                    <a16:creationId xmlns:a16="http://schemas.microsoft.com/office/drawing/2014/main" id="{80845E37-4467-4122-9322-DCF9A434486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454" name="BC$K$288#BR28">
                              <a:extLst>
                                <a:ext uri="{FF2B5EF4-FFF2-40B4-BE49-F238E27FC236}">
                                  <a16:creationId xmlns:a16="http://schemas.microsoft.com/office/drawing/2014/main" id="{ACCC1967-C6CE-418D-9585-6B641741F66B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456" name="BC$K$288#BR29">
                            <a:extLst>
                              <a:ext uri="{FF2B5EF4-FFF2-40B4-BE49-F238E27FC236}">
                                <a16:creationId xmlns:a16="http://schemas.microsoft.com/office/drawing/2014/main" id="{0AFB0A37-A2DC-45EE-A19A-A4C88CF430A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458" name="BC$K$288#BR30">
                          <a:extLst>
                            <a:ext uri="{FF2B5EF4-FFF2-40B4-BE49-F238E27FC236}">
                              <a16:creationId xmlns:a16="http://schemas.microsoft.com/office/drawing/2014/main" id="{478BA823-56D6-421B-96DB-C0AE7A38BA7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460" name="BC$K$288#BR31">
                        <a:extLst>
                          <a:ext uri="{FF2B5EF4-FFF2-40B4-BE49-F238E27FC236}">
                            <a16:creationId xmlns:a16="http://schemas.microsoft.com/office/drawing/2014/main" id="{193DE524-26E2-4EB9-8ACD-3DEF6C83657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462" name="BC$K$288#BR32">
                      <a:extLst>
                        <a:ext uri="{FF2B5EF4-FFF2-40B4-BE49-F238E27FC236}">
                          <a16:creationId xmlns:a16="http://schemas.microsoft.com/office/drawing/2014/main" id="{D8584D70-E4F8-48E6-9109-ABD355E6199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464" name="BC$K$288#BR33">
                    <a:extLst>
                      <a:ext uri="{FF2B5EF4-FFF2-40B4-BE49-F238E27FC236}">
                        <a16:creationId xmlns:a16="http://schemas.microsoft.com/office/drawing/2014/main" id="{21A4F326-622E-44CE-BA8D-530BD9EADD7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466" name="BC$K$288#BR34">
                  <a:extLst>
                    <a:ext uri="{FF2B5EF4-FFF2-40B4-BE49-F238E27FC236}">
                      <a16:creationId xmlns:a16="http://schemas.microsoft.com/office/drawing/2014/main" id="{9337F783-61AD-4817-A282-C6FA78ECC0A0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468" name="BC$K$288#BR35">
                <a:extLst>
                  <a:ext uri="{FF2B5EF4-FFF2-40B4-BE49-F238E27FC236}">
                    <a16:creationId xmlns:a16="http://schemas.microsoft.com/office/drawing/2014/main" id="{8EED8599-C274-4752-97B4-C3D16D23D8E6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470" name="BC$K$288#BR36">
              <a:extLst>
                <a:ext uri="{FF2B5EF4-FFF2-40B4-BE49-F238E27FC236}">
                  <a16:creationId xmlns:a16="http://schemas.microsoft.com/office/drawing/2014/main" id="{017C0D19-1302-4854-97C5-F843820A7E6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472" name="BC$K$288#BR37">
            <a:extLst>
              <a:ext uri="{FF2B5EF4-FFF2-40B4-BE49-F238E27FC236}">
                <a16:creationId xmlns:a16="http://schemas.microsoft.com/office/drawing/2014/main" id="{D64AEA4A-7B65-4383-AFB2-A3F9144E359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305</xdr:row>
      <xdr:rowOff>9525</xdr:rowOff>
    </xdr:from>
    <xdr:to>
      <xdr:col>13</xdr:col>
      <xdr:colOff>200025</xdr:colOff>
      <xdr:row>307</xdr:row>
      <xdr:rowOff>9525</xdr:rowOff>
    </xdr:to>
    <xdr:grpSp>
      <xdr:nvGrpSpPr>
        <xdr:cNvPr id="9548" name="BC$K$299#GR">
          <a:extLst>
            <a:ext uri="{FF2B5EF4-FFF2-40B4-BE49-F238E27FC236}">
              <a16:creationId xmlns:a16="http://schemas.microsoft.com/office/drawing/2014/main" id="{DA49269D-3D81-4611-B052-9B94D241AB8E}"/>
            </a:ext>
          </a:extLst>
        </xdr:cNvPr>
        <xdr:cNvGrpSpPr/>
      </xdr:nvGrpSpPr>
      <xdr:grpSpPr>
        <a:xfrm>
          <a:off x="2667000" y="58016775"/>
          <a:ext cx="381000" cy="381000"/>
          <a:chOff x="0" y="0"/>
          <a:chExt cx="381000" cy="381000"/>
        </a:xfrm>
      </xdr:grpSpPr>
      <xdr:grpSp>
        <xdr:nvGrpSpPr>
          <xdr:cNvPr id="9546" name="BC$K$299#GR">
            <a:extLst>
              <a:ext uri="{FF2B5EF4-FFF2-40B4-BE49-F238E27FC236}">
                <a16:creationId xmlns:a16="http://schemas.microsoft.com/office/drawing/2014/main" id="{ABFB437D-B1D8-42E5-B05E-9C8276CD6AAA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544" name="BC$K$299#GR">
              <a:extLst>
                <a:ext uri="{FF2B5EF4-FFF2-40B4-BE49-F238E27FC236}">
                  <a16:creationId xmlns:a16="http://schemas.microsoft.com/office/drawing/2014/main" id="{8A17E699-CAB2-44E4-8DA7-87171EB66C0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542" name="BC$K$299#GR">
                <a:extLst>
                  <a:ext uri="{FF2B5EF4-FFF2-40B4-BE49-F238E27FC236}">
                    <a16:creationId xmlns:a16="http://schemas.microsoft.com/office/drawing/2014/main" id="{F072AF12-C8EA-4D9B-8C63-EA1AB1A8AFC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540" name="BC$K$299#GR">
                  <a:extLst>
                    <a:ext uri="{FF2B5EF4-FFF2-40B4-BE49-F238E27FC236}">
                      <a16:creationId xmlns:a16="http://schemas.microsoft.com/office/drawing/2014/main" id="{2C75389C-8499-4B30-B222-A698C1540D7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538" name="BC$K$299#GR">
                    <a:extLst>
                      <a:ext uri="{FF2B5EF4-FFF2-40B4-BE49-F238E27FC236}">
                        <a16:creationId xmlns:a16="http://schemas.microsoft.com/office/drawing/2014/main" id="{A084BB1B-44FF-493B-ABAD-0C496277AE7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536" name="BC$K$299#GR">
                      <a:extLst>
                        <a:ext uri="{FF2B5EF4-FFF2-40B4-BE49-F238E27FC236}">
                          <a16:creationId xmlns:a16="http://schemas.microsoft.com/office/drawing/2014/main" id="{A25B5887-9AE4-421D-83DD-D813B6A946A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534" name="BC$K$299#GR">
                        <a:extLst>
                          <a:ext uri="{FF2B5EF4-FFF2-40B4-BE49-F238E27FC236}">
                            <a16:creationId xmlns:a16="http://schemas.microsoft.com/office/drawing/2014/main" id="{337ACCB8-25B5-4A5A-97CE-178F6562C6E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532" name="BC$K$299#GR">
                          <a:extLst>
                            <a:ext uri="{FF2B5EF4-FFF2-40B4-BE49-F238E27FC236}">
                              <a16:creationId xmlns:a16="http://schemas.microsoft.com/office/drawing/2014/main" id="{5EC9E797-CFDE-4F3B-A857-D3A62B44E2F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530" name="BC$K$299#GR">
                            <a:extLst>
                              <a:ext uri="{FF2B5EF4-FFF2-40B4-BE49-F238E27FC236}">
                                <a16:creationId xmlns:a16="http://schemas.microsoft.com/office/drawing/2014/main" id="{F1262922-1902-482F-B76C-7E4A37318D13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528" name="BC$K$299#GR">
                              <a:extLst>
                                <a:ext uri="{FF2B5EF4-FFF2-40B4-BE49-F238E27FC236}">
                                  <a16:creationId xmlns:a16="http://schemas.microsoft.com/office/drawing/2014/main" id="{34BE1C76-5A89-447A-9252-E08536CE56A3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526" name="BC$K$299#GR">
                                <a:extLst>
                                  <a:ext uri="{FF2B5EF4-FFF2-40B4-BE49-F238E27FC236}">
                                    <a16:creationId xmlns:a16="http://schemas.microsoft.com/office/drawing/2014/main" id="{90C6449E-5D3F-4100-A395-F5420298C125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524" name="BC$K$299#GR">
                                  <a:extLst>
                                    <a:ext uri="{FF2B5EF4-FFF2-40B4-BE49-F238E27FC236}">
                                      <a16:creationId xmlns:a16="http://schemas.microsoft.com/office/drawing/2014/main" id="{137292D8-E59C-46A0-B557-4734B0B1BF41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522" name="BC$K$299#GR">
                                    <a:extLst>
                                      <a:ext uri="{FF2B5EF4-FFF2-40B4-BE49-F238E27FC236}">
                                        <a16:creationId xmlns:a16="http://schemas.microsoft.com/office/drawing/2014/main" id="{AC899AB2-8B71-489D-B75E-19C667CDFE2D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520" name="BC$K$299#GR">
                                      <a:extLst>
                                        <a:ext uri="{FF2B5EF4-FFF2-40B4-BE49-F238E27FC236}">
                                          <a16:creationId xmlns:a16="http://schemas.microsoft.com/office/drawing/2014/main" id="{BBDF847E-4B6F-42B0-A090-C011FC78BEEE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518" name="BC$K$29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C39F4D1-039D-476A-8465-53F50A19BDB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516" name="BC$K$29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B89A2AE-3DDD-4FFA-BEA2-F8B9A18ED1EF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514" name="BC$K$29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362B79C-42ED-4D26-9BC7-9C83B4BB187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512" name="BC$K$29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B94B71D-6ED7-4817-A531-6CCF3BB58EB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510" name="BC$K$29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F300CD5-8E3A-4710-B48B-56983E5B4E4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508" name="BC$K$29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5E69537-F2EE-4B28-914D-2398F9C7C03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506" name="BC$K$29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D7509E5-232B-4C1F-AF65-00AD0A8E55C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504" name="BC$K$29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F87A8C6-AA43-4445-842B-41FEB5C93F9B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502" name="BC$K$29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1E033D0-2549-4E13-AFA1-34AC06FE1E1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500" name="BC$K$29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98FC740-A09C-4855-A5DB-39B5F95503E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498" name="BC$K$29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5B4B5C0-9509-4642-910E-983276E5BA2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496" name="BC$K$29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5B79B57-9982-458F-8DA5-DFF22722410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494" name="BC$K$29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34BEDC0-B8DB-444D-A5FA-5204F081241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492" name="BC$K$29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9CAAFFA-B8D1-42BC-9BFA-8E3FDE4FC18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490" name="BC$K$29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51F324E-49D0-4458-BE56-475047ED786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488" name="BC$K$29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74F6B21-DE4F-4CBD-AF13-C58A337A30A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486" name="BC$K$29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ED244E9-72BC-405E-8688-85535374EFF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484" name="BC$K$29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96E6018-5D0C-440F-901D-613EA92074B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482" name="BC$K$29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C2AD642-F0A4-4DBB-BE08-66B3036E7DD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480" name="BC$K$29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0FBC88A-609E-4B0C-AB8C-8F053365237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478" name="BC$K$29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DE57EB4-1F64-402C-B7EC-2271D8D8DCF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476" name="BC$K$29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430A46B-CC1F-4942-B340-A1E9FE2B29B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474" name="BC$K$29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DD12F5C-2970-4A6F-AF2D-4E2A45E96A9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475" name="BC$K$29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AB316FF-D26B-4967-979B-830922A7029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477" name="BC$K$29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F6B14DE-E76C-4DD4-8F17-F146105D9CD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479" name="BC$K$29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8B1F538-347C-48C8-B733-3CFF57BCDCD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481" name="BC$K$29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6F2AA06-E8A8-4660-8DCB-77AD986F51E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483" name="BC$K$29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D8FD1D5-87E5-4748-9200-998CCB96EB6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485" name="BC$K$29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9571AFF-E355-4E39-A9E8-329286C320A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487" name="BC$K$29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8EA3664-3139-4441-B6D3-B36A43D712D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489" name="BC$K$29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4A9CDD6-2B6D-4D5F-A97B-609D35E515E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491" name="BC$K$29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80459ED-4274-4394-ACDB-6F0FE22F8AE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493" name="BC$K$29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9A11B79-A820-431B-BB37-9B3734EAE1A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495" name="BC$K$29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C9390C8-AE8E-447D-83E4-E674E492786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497" name="BC$K$29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35FAACB-D9EC-41B8-86D5-6F7557220DD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499" name="BC$K$29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04FFC8B-B8F7-4F2E-9FD3-B4EBF19588C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501" name="BC$K$29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FCC5CDF-128F-4B02-9E8E-54EA7143406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503" name="BC$K$29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8ABD35A-F3F0-4086-81F1-0CA6183E8E9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505" name="BC$K$29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DDD38B2-C7DC-4B91-8E2F-1502FB955AD7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507" name="BC$K$29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304F4D3-CD03-42C9-BC82-6274C8E43711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509" name="BC$K$29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7982EB3-3DC0-4AF0-A001-2272737051C9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511" name="BC$K$29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2B4EAE8-D540-4967-8166-4E8FA29E0BC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513" name="BC$K$29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D9CDDC2-7CB5-4C9A-A68B-331ACD65EFB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515" name="BC$K$29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0EC35C2-6741-4141-ADB2-946647D993D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517" name="BC$K$29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289E510-9E40-4439-8D1C-87B088DD00E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519" name="BC$K$29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4F34803-12CB-4CF2-B0C4-CA52CE8A374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521" name="BC$K$29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96159C74-1D67-4A53-99E2-1A2D018008CF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523" name="BC$K$299#BR25">
                                    <a:extLst>
                                      <a:ext uri="{FF2B5EF4-FFF2-40B4-BE49-F238E27FC236}">
                                        <a16:creationId xmlns:a16="http://schemas.microsoft.com/office/drawing/2014/main" id="{8DF3A672-87B3-4587-A9A4-C7F062E70F8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525" name="BC$K$299#BR26">
                                  <a:extLst>
                                    <a:ext uri="{FF2B5EF4-FFF2-40B4-BE49-F238E27FC236}">
                                      <a16:creationId xmlns:a16="http://schemas.microsoft.com/office/drawing/2014/main" id="{B49118E4-B6E8-4ED2-B22F-822B1BC9AEE9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527" name="BC$K$299#BR27">
                                <a:extLst>
                                  <a:ext uri="{FF2B5EF4-FFF2-40B4-BE49-F238E27FC236}">
                                    <a16:creationId xmlns:a16="http://schemas.microsoft.com/office/drawing/2014/main" id="{0CE384F1-F52E-4211-AA9D-3FB71308C41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529" name="BC$K$299#BR28">
                              <a:extLst>
                                <a:ext uri="{FF2B5EF4-FFF2-40B4-BE49-F238E27FC236}">
                                  <a16:creationId xmlns:a16="http://schemas.microsoft.com/office/drawing/2014/main" id="{1F63DBCA-C526-47B1-B286-6870DBCA253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531" name="BC$K$299#BR29">
                            <a:extLst>
                              <a:ext uri="{FF2B5EF4-FFF2-40B4-BE49-F238E27FC236}">
                                <a16:creationId xmlns:a16="http://schemas.microsoft.com/office/drawing/2014/main" id="{DA02B30C-AB62-4994-AB1F-E84479A0D2A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533" name="BC$K$299#BR30">
                          <a:extLst>
                            <a:ext uri="{FF2B5EF4-FFF2-40B4-BE49-F238E27FC236}">
                              <a16:creationId xmlns:a16="http://schemas.microsoft.com/office/drawing/2014/main" id="{4C45B337-A015-4C04-9C77-549D91EEF0F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535" name="BC$K$299#BR31">
                        <a:extLst>
                          <a:ext uri="{FF2B5EF4-FFF2-40B4-BE49-F238E27FC236}">
                            <a16:creationId xmlns:a16="http://schemas.microsoft.com/office/drawing/2014/main" id="{6EA4DB7F-4201-4470-95BE-249DF816B05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537" name="BC$K$299#BR32">
                      <a:extLst>
                        <a:ext uri="{FF2B5EF4-FFF2-40B4-BE49-F238E27FC236}">
                          <a16:creationId xmlns:a16="http://schemas.microsoft.com/office/drawing/2014/main" id="{11C3E7CA-E2C6-4958-B8E0-CBCF4B80A5F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539" name="BC$K$299#BR33">
                    <a:extLst>
                      <a:ext uri="{FF2B5EF4-FFF2-40B4-BE49-F238E27FC236}">
                        <a16:creationId xmlns:a16="http://schemas.microsoft.com/office/drawing/2014/main" id="{07955C51-F988-49A7-BD99-4D098A9B06AD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541" name="BC$K$299#BR34">
                  <a:extLst>
                    <a:ext uri="{FF2B5EF4-FFF2-40B4-BE49-F238E27FC236}">
                      <a16:creationId xmlns:a16="http://schemas.microsoft.com/office/drawing/2014/main" id="{D3EFFCB6-0852-4441-A449-591710B4B4FF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543" name="BC$K$299#BR35">
                <a:extLst>
                  <a:ext uri="{FF2B5EF4-FFF2-40B4-BE49-F238E27FC236}">
                    <a16:creationId xmlns:a16="http://schemas.microsoft.com/office/drawing/2014/main" id="{E5A44944-5FBC-4A8A-8CFD-0AFEFA8719EA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545" name="BC$K$299#BR36">
              <a:extLst>
                <a:ext uri="{FF2B5EF4-FFF2-40B4-BE49-F238E27FC236}">
                  <a16:creationId xmlns:a16="http://schemas.microsoft.com/office/drawing/2014/main" id="{FD1CBDD1-84F2-4561-B6D1-B22C0F6E2E0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547" name="BC$K$299#BR37">
            <a:extLst>
              <a:ext uri="{FF2B5EF4-FFF2-40B4-BE49-F238E27FC236}">
                <a16:creationId xmlns:a16="http://schemas.microsoft.com/office/drawing/2014/main" id="{BBAAED2A-645E-4480-9567-7D69437A7775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305</xdr:row>
      <xdr:rowOff>0</xdr:rowOff>
    </xdr:from>
    <xdr:to>
      <xdr:col>27</xdr:col>
      <xdr:colOff>200025</xdr:colOff>
      <xdr:row>307</xdr:row>
      <xdr:rowOff>0</xdr:rowOff>
    </xdr:to>
    <xdr:grpSp>
      <xdr:nvGrpSpPr>
        <xdr:cNvPr id="9623" name="BC$Y$299#GR">
          <a:extLst>
            <a:ext uri="{FF2B5EF4-FFF2-40B4-BE49-F238E27FC236}">
              <a16:creationId xmlns:a16="http://schemas.microsoft.com/office/drawing/2014/main" id="{C75455A8-0356-441D-9F54-3E661F719B20}"/>
            </a:ext>
          </a:extLst>
        </xdr:cNvPr>
        <xdr:cNvGrpSpPr/>
      </xdr:nvGrpSpPr>
      <xdr:grpSpPr>
        <a:xfrm>
          <a:off x="5781675" y="58007250"/>
          <a:ext cx="381000" cy="381000"/>
          <a:chOff x="0" y="0"/>
          <a:chExt cx="381000" cy="381000"/>
        </a:xfrm>
      </xdr:grpSpPr>
      <xdr:grpSp>
        <xdr:nvGrpSpPr>
          <xdr:cNvPr id="9621" name="BC$Y$299#GR">
            <a:extLst>
              <a:ext uri="{FF2B5EF4-FFF2-40B4-BE49-F238E27FC236}">
                <a16:creationId xmlns:a16="http://schemas.microsoft.com/office/drawing/2014/main" id="{00999403-3F61-4863-B1C5-355B09FD912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619" name="BC$Y$299#GR">
              <a:extLst>
                <a:ext uri="{FF2B5EF4-FFF2-40B4-BE49-F238E27FC236}">
                  <a16:creationId xmlns:a16="http://schemas.microsoft.com/office/drawing/2014/main" id="{1626E607-ED34-49D9-A465-1F4CFE098CF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617" name="BC$Y$299#GR">
                <a:extLst>
                  <a:ext uri="{FF2B5EF4-FFF2-40B4-BE49-F238E27FC236}">
                    <a16:creationId xmlns:a16="http://schemas.microsoft.com/office/drawing/2014/main" id="{0EBCC785-6871-44E7-8D20-75D8C1BCF79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615" name="BC$Y$299#GR">
                  <a:extLst>
                    <a:ext uri="{FF2B5EF4-FFF2-40B4-BE49-F238E27FC236}">
                      <a16:creationId xmlns:a16="http://schemas.microsoft.com/office/drawing/2014/main" id="{4EBA8805-0290-48C9-A39C-B895D9B38353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613" name="BC$Y$299#GR">
                    <a:extLst>
                      <a:ext uri="{FF2B5EF4-FFF2-40B4-BE49-F238E27FC236}">
                        <a16:creationId xmlns:a16="http://schemas.microsoft.com/office/drawing/2014/main" id="{767D3568-7D1D-4D96-858F-2915123CE9B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611" name="BC$Y$299#GR">
                      <a:extLst>
                        <a:ext uri="{FF2B5EF4-FFF2-40B4-BE49-F238E27FC236}">
                          <a16:creationId xmlns:a16="http://schemas.microsoft.com/office/drawing/2014/main" id="{C1185552-61C3-494B-8C2B-B43737E0A61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609" name="BC$Y$299#GR">
                        <a:extLst>
                          <a:ext uri="{FF2B5EF4-FFF2-40B4-BE49-F238E27FC236}">
                            <a16:creationId xmlns:a16="http://schemas.microsoft.com/office/drawing/2014/main" id="{B86A2F99-2661-4F48-90E2-366E6DB932BA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607" name="BC$Y$299#GR">
                          <a:extLst>
                            <a:ext uri="{FF2B5EF4-FFF2-40B4-BE49-F238E27FC236}">
                              <a16:creationId xmlns:a16="http://schemas.microsoft.com/office/drawing/2014/main" id="{1254E2A3-EB3C-408F-85AD-4BF9A813A106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605" name="BC$Y$299#GR">
                            <a:extLst>
                              <a:ext uri="{FF2B5EF4-FFF2-40B4-BE49-F238E27FC236}">
                                <a16:creationId xmlns:a16="http://schemas.microsoft.com/office/drawing/2014/main" id="{6F74C410-5316-4F47-8579-AC7325D676BD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603" name="BC$Y$299#GR">
                              <a:extLst>
                                <a:ext uri="{FF2B5EF4-FFF2-40B4-BE49-F238E27FC236}">
                                  <a16:creationId xmlns:a16="http://schemas.microsoft.com/office/drawing/2014/main" id="{02931494-D3A9-4E30-AB26-BDC8384426C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601" name="BC$Y$299#GR">
                                <a:extLst>
                                  <a:ext uri="{FF2B5EF4-FFF2-40B4-BE49-F238E27FC236}">
                                    <a16:creationId xmlns:a16="http://schemas.microsoft.com/office/drawing/2014/main" id="{FDC40555-D2C6-4921-8C52-029BD4D17F6E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599" name="BC$Y$299#GR">
                                  <a:extLst>
                                    <a:ext uri="{FF2B5EF4-FFF2-40B4-BE49-F238E27FC236}">
                                      <a16:creationId xmlns:a16="http://schemas.microsoft.com/office/drawing/2014/main" id="{99669D88-AA97-486C-813A-D93A4E3AE672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597" name="BC$Y$299#GR">
                                    <a:extLst>
                                      <a:ext uri="{FF2B5EF4-FFF2-40B4-BE49-F238E27FC236}">
                                        <a16:creationId xmlns:a16="http://schemas.microsoft.com/office/drawing/2014/main" id="{E7213CA6-FCFC-4682-981B-BC0F443C2A9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595" name="BC$Y$299#GR">
                                      <a:extLst>
                                        <a:ext uri="{FF2B5EF4-FFF2-40B4-BE49-F238E27FC236}">
                                          <a16:creationId xmlns:a16="http://schemas.microsoft.com/office/drawing/2014/main" id="{F3AD443D-1D54-4DF8-ABA8-0A3D2D7B8F21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593" name="BC$Y$29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1DD8A3B-A714-45A2-A0F7-3B4AD38E585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591" name="BC$Y$29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0128569-F63D-4E5D-B8B1-3604228DE0B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589" name="BC$Y$29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396E3C3-9756-49A0-8761-57D575D6184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587" name="BC$Y$29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E2CAF43-115B-4718-B719-A7A0B5C5E375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585" name="BC$Y$29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FFE3F98-442D-4108-BC3D-C472A50785C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583" name="BC$Y$29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7008B13-8D1B-4894-A0CE-46DC223AE42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581" name="BC$Y$29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BFC0FAF-6527-463B-BC96-D6E8F9B79E7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579" name="BC$Y$29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C7ED079-369D-4805-80AD-0E3AA645EB0F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577" name="BC$Y$29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7AC73FC-4B96-4760-B781-8EB62CDB7CB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575" name="BC$Y$29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7EED753-4F30-4CE0-BE08-98E0563C06D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573" name="BC$Y$29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6B39CA8-0D50-47EB-8EEB-3C64E29B782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571" name="BC$Y$29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0851410-2943-4106-B197-C3DA783389E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569" name="BC$Y$29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CC4CEE0-7517-417E-999A-3F63C0FD3CD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567" name="BC$Y$29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E509625-DBAF-497A-8DB6-E5B41CDE828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565" name="BC$Y$29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E6CAA75-84F3-4C35-9C02-A81E262731A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563" name="BC$Y$29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CCF8FAD-274F-4198-9B2F-CE660C96595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561" name="BC$Y$29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8E8FF79-762C-4D88-A837-5FCA40E0012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559" name="BC$Y$29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A728731-88B2-4E89-B6ED-B4F503DB19B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557" name="BC$Y$29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8821DB1-3611-4E05-9EB9-A157AEDFB05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555" name="BC$Y$29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57F5F5A-EF5D-4673-85A6-3DEC4DFE52B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553" name="BC$Y$29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9A7CDF8-0D63-45E5-9F71-336CB6C3098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551" name="BC$Y$29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15628D1-A44C-42CE-954A-A7865B7CAB8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549" name="BC$Y$29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5D58E18-FCB9-4050-8E7B-372487DB709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550" name="BC$Y$29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D6D2E45-C5CC-4EB1-AD83-D81CB85FF15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552" name="BC$Y$29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C7D3D41-940F-47CD-B7CD-5DDC4ED7293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554" name="BC$Y$29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2FFE6F4-87E8-42AF-BDD0-BE815CF183F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556" name="BC$Y$29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61AF575-6A34-4DA8-A0E9-34C33C55BBD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558" name="BC$Y$29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35927B6-3E18-4A00-B4FB-264E75DF0AA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560" name="BC$Y$29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382EA1D-CE85-45C1-9358-CDA59650E2D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562" name="BC$Y$29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8835E85-B1AB-4250-8E0E-B7C65A3AA26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564" name="BC$Y$29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90FD6B6-E466-4D70-BB85-5A03F070C72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566" name="BC$Y$29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17944B1-514E-48AC-9223-B033E824C63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568" name="BC$Y$29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325A5CF-1326-4CCF-92C5-A9DFEEFA9EB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570" name="BC$Y$29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8A61451-345F-462B-8B94-8244ECBE85A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572" name="BC$Y$29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EC6F922-8691-48A9-9F2B-84B1C3D88A3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574" name="BC$Y$29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EB8926C-D6B7-4671-A2E7-081FE84F3B7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576" name="BC$Y$29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BD84C9A-8E3B-47FC-BD5F-02DE9D9D931E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578" name="BC$Y$29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BBA8737-5CB9-438F-87E0-0EEDD5F194E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580" name="BC$Y$29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4DCB901-064F-4158-BB3B-65E0922EB6D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582" name="BC$Y$29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07AB329-2E58-4CD3-9492-80781BB31616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584" name="BC$Y$29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BFCC222-2492-4C8C-AFA3-5729C9D222E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586" name="BC$Y$29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DCE923F-BD38-460C-88B4-1F0F8583C9B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588" name="BC$Y$29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78A91DE-E88A-4308-83D7-E3FF7C98971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590" name="BC$Y$29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987E96F-1135-4C68-8BA7-37E53231CED5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592" name="BC$Y$29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14F789C-C4CC-4262-A15B-B395CD6F370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594" name="BC$Y$29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8479A7F-7076-479B-AA1F-F8E9D0C2F18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596" name="BC$Y$29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8369A137-D63E-4F02-A3DA-7EBAA8D5067D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598" name="BC$Y$299#BR25">
                                    <a:extLst>
                                      <a:ext uri="{FF2B5EF4-FFF2-40B4-BE49-F238E27FC236}">
                                        <a16:creationId xmlns:a16="http://schemas.microsoft.com/office/drawing/2014/main" id="{226B03A0-5C82-4A61-9D6E-46BA58D461B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600" name="BC$Y$299#BR26">
                                  <a:extLst>
                                    <a:ext uri="{FF2B5EF4-FFF2-40B4-BE49-F238E27FC236}">
                                      <a16:creationId xmlns:a16="http://schemas.microsoft.com/office/drawing/2014/main" id="{EAF7DB40-D586-48B9-B0AB-3A142CAF7776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602" name="BC$Y$299#BR27">
                                <a:extLst>
                                  <a:ext uri="{FF2B5EF4-FFF2-40B4-BE49-F238E27FC236}">
                                    <a16:creationId xmlns:a16="http://schemas.microsoft.com/office/drawing/2014/main" id="{8B2C1BD0-5C50-4328-9B34-D42FD1B5D06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604" name="BC$Y$299#BR28">
                              <a:extLst>
                                <a:ext uri="{FF2B5EF4-FFF2-40B4-BE49-F238E27FC236}">
                                  <a16:creationId xmlns:a16="http://schemas.microsoft.com/office/drawing/2014/main" id="{EC6BBF14-621B-45A8-A19D-C002EB469B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606" name="BC$Y$299#BR29">
                            <a:extLst>
                              <a:ext uri="{FF2B5EF4-FFF2-40B4-BE49-F238E27FC236}">
                                <a16:creationId xmlns:a16="http://schemas.microsoft.com/office/drawing/2014/main" id="{4F44E793-3D7B-4E28-A9C6-9C9E29F1C01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608" name="BC$Y$299#BR30">
                          <a:extLst>
                            <a:ext uri="{FF2B5EF4-FFF2-40B4-BE49-F238E27FC236}">
                              <a16:creationId xmlns:a16="http://schemas.microsoft.com/office/drawing/2014/main" id="{5B912C5F-2ABF-4D37-8492-49A58AD0FF8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610" name="BC$Y$299#BR31">
                        <a:extLst>
                          <a:ext uri="{FF2B5EF4-FFF2-40B4-BE49-F238E27FC236}">
                            <a16:creationId xmlns:a16="http://schemas.microsoft.com/office/drawing/2014/main" id="{3527B764-363F-48FE-BDA8-75BE144D77C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612" name="BC$Y$299#BR32">
                      <a:extLst>
                        <a:ext uri="{FF2B5EF4-FFF2-40B4-BE49-F238E27FC236}">
                          <a16:creationId xmlns:a16="http://schemas.microsoft.com/office/drawing/2014/main" id="{8CD2DE81-D9F1-4DFB-A347-A3D2484A0C6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614" name="BC$Y$299#BR33">
                    <a:extLst>
                      <a:ext uri="{FF2B5EF4-FFF2-40B4-BE49-F238E27FC236}">
                        <a16:creationId xmlns:a16="http://schemas.microsoft.com/office/drawing/2014/main" id="{4701DE35-C683-4C38-B869-01FC9650612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616" name="BC$Y$299#BR34">
                  <a:extLst>
                    <a:ext uri="{FF2B5EF4-FFF2-40B4-BE49-F238E27FC236}">
                      <a16:creationId xmlns:a16="http://schemas.microsoft.com/office/drawing/2014/main" id="{4C0CAA61-8E0D-4F5E-92BA-4D55C38305B8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618" name="BC$Y$299#BR35">
                <a:extLst>
                  <a:ext uri="{FF2B5EF4-FFF2-40B4-BE49-F238E27FC236}">
                    <a16:creationId xmlns:a16="http://schemas.microsoft.com/office/drawing/2014/main" id="{4A10C452-3152-43A5-B3C3-77EAA9A7018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620" name="BC$Y$299#BR36">
              <a:extLst>
                <a:ext uri="{FF2B5EF4-FFF2-40B4-BE49-F238E27FC236}">
                  <a16:creationId xmlns:a16="http://schemas.microsoft.com/office/drawing/2014/main" id="{02CC85ED-9577-49F9-B878-BAA6CFE5B47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622" name="BC$Y$299#BR37">
            <a:extLst>
              <a:ext uri="{FF2B5EF4-FFF2-40B4-BE49-F238E27FC236}">
                <a16:creationId xmlns:a16="http://schemas.microsoft.com/office/drawing/2014/main" id="{B5A2F6A6-867E-4B85-BB4B-34018C4FD783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316</xdr:row>
      <xdr:rowOff>0</xdr:rowOff>
    </xdr:from>
    <xdr:to>
      <xdr:col>13</xdr:col>
      <xdr:colOff>200025</xdr:colOff>
      <xdr:row>318</xdr:row>
      <xdr:rowOff>0</xdr:rowOff>
    </xdr:to>
    <xdr:grpSp>
      <xdr:nvGrpSpPr>
        <xdr:cNvPr id="9773" name="BC$K$310#GR">
          <a:extLst>
            <a:ext uri="{FF2B5EF4-FFF2-40B4-BE49-F238E27FC236}">
              <a16:creationId xmlns:a16="http://schemas.microsoft.com/office/drawing/2014/main" id="{2F4C5F1E-7EF4-4A64-BFC5-D66F71067923}"/>
            </a:ext>
          </a:extLst>
        </xdr:cNvPr>
        <xdr:cNvGrpSpPr/>
      </xdr:nvGrpSpPr>
      <xdr:grpSpPr>
        <a:xfrm>
          <a:off x="2667000" y="60102750"/>
          <a:ext cx="381000" cy="381000"/>
          <a:chOff x="0" y="0"/>
          <a:chExt cx="381000" cy="381000"/>
        </a:xfrm>
      </xdr:grpSpPr>
      <xdr:grpSp>
        <xdr:nvGrpSpPr>
          <xdr:cNvPr id="9771" name="BC$K$310#GR">
            <a:extLst>
              <a:ext uri="{FF2B5EF4-FFF2-40B4-BE49-F238E27FC236}">
                <a16:creationId xmlns:a16="http://schemas.microsoft.com/office/drawing/2014/main" id="{8A91472B-BC2A-4CEC-967D-9864F428A30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769" name="BC$K$310#GR">
              <a:extLst>
                <a:ext uri="{FF2B5EF4-FFF2-40B4-BE49-F238E27FC236}">
                  <a16:creationId xmlns:a16="http://schemas.microsoft.com/office/drawing/2014/main" id="{4A28258A-8C2E-480F-9AC9-27D394F6F290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767" name="BC$K$310#GR">
                <a:extLst>
                  <a:ext uri="{FF2B5EF4-FFF2-40B4-BE49-F238E27FC236}">
                    <a16:creationId xmlns:a16="http://schemas.microsoft.com/office/drawing/2014/main" id="{18321AE0-2F00-4C8C-9836-ACA3156871A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765" name="BC$K$310#GR">
                  <a:extLst>
                    <a:ext uri="{FF2B5EF4-FFF2-40B4-BE49-F238E27FC236}">
                      <a16:creationId xmlns:a16="http://schemas.microsoft.com/office/drawing/2014/main" id="{04F57976-F84B-44A7-BB9A-66BDA9E2C3E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763" name="BC$K$310#GR">
                    <a:extLst>
                      <a:ext uri="{FF2B5EF4-FFF2-40B4-BE49-F238E27FC236}">
                        <a16:creationId xmlns:a16="http://schemas.microsoft.com/office/drawing/2014/main" id="{68C85CF6-B662-4B86-BE02-43C52B869626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761" name="BC$K$310#GR">
                      <a:extLst>
                        <a:ext uri="{FF2B5EF4-FFF2-40B4-BE49-F238E27FC236}">
                          <a16:creationId xmlns:a16="http://schemas.microsoft.com/office/drawing/2014/main" id="{FEC35CD0-4DFA-4389-B1DE-F80040C69FE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759" name="BC$K$310#GR">
                        <a:extLst>
                          <a:ext uri="{FF2B5EF4-FFF2-40B4-BE49-F238E27FC236}">
                            <a16:creationId xmlns:a16="http://schemas.microsoft.com/office/drawing/2014/main" id="{774C8E56-0BAD-4A3F-BEEE-4299852A526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757" name="BC$K$310#GR">
                          <a:extLst>
                            <a:ext uri="{FF2B5EF4-FFF2-40B4-BE49-F238E27FC236}">
                              <a16:creationId xmlns:a16="http://schemas.microsoft.com/office/drawing/2014/main" id="{67593A68-5961-4036-9D08-D15CFA2312F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755" name="BC$K$310#GR">
                            <a:extLst>
                              <a:ext uri="{FF2B5EF4-FFF2-40B4-BE49-F238E27FC236}">
                                <a16:creationId xmlns:a16="http://schemas.microsoft.com/office/drawing/2014/main" id="{A57CB238-C3CF-4C89-89B9-05A5E9A0E431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753" name="BC$K$310#GR">
                              <a:extLst>
                                <a:ext uri="{FF2B5EF4-FFF2-40B4-BE49-F238E27FC236}">
                                  <a16:creationId xmlns:a16="http://schemas.microsoft.com/office/drawing/2014/main" id="{CFE58A72-49C4-4DA9-8B29-2ACF7AD7A78B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751" name="BC$K$310#GR">
                                <a:extLst>
                                  <a:ext uri="{FF2B5EF4-FFF2-40B4-BE49-F238E27FC236}">
                                    <a16:creationId xmlns:a16="http://schemas.microsoft.com/office/drawing/2014/main" id="{26C66856-8181-403A-BDD6-DED0725E2DA9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749" name="BC$K$310#GR">
                                  <a:extLst>
                                    <a:ext uri="{FF2B5EF4-FFF2-40B4-BE49-F238E27FC236}">
                                      <a16:creationId xmlns:a16="http://schemas.microsoft.com/office/drawing/2014/main" id="{9805BAEA-9926-4105-9335-2C8EAF686B14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747" name="BC$K$310#GR">
                                    <a:extLst>
                                      <a:ext uri="{FF2B5EF4-FFF2-40B4-BE49-F238E27FC236}">
                                        <a16:creationId xmlns:a16="http://schemas.microsoft.com/office/drawing/2014/main" id="{F89B0D8B-7789-48C8-9240-AF799271C29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745" name="BC$K$310#GR">
                                      <a:extLst>
                                        <a:ext uri="{FF2B5EF4-FFF2-40B4-BE49-F238E27FC236}">
                                          <a16:creationId xmlns:a16="http://schemas.microsoft.com/office/drawing/2014/main" id="{11E37883-F275-4E38-90B4-9FFD116238F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743" name="BC$K$31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41DC16D-72E9-40EB-AF05-558BBD1EC31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741" name="BC$K$31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6D9C78A-7512-4131-ABCD-3CC2D88AB1A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739" name="BC$K$31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B339385-6BD0-4065-9B76-634756054C4E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737" name="BC$K$31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F428916-C9CF-441A-92C6-B741840BD103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735" name="BC$K$31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CB9086F-0C5E-4AB1-9D3D-3E716E0F7FBD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733" name="BC$K$31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38B816B-6335-4215-8FF5-E0A0A7966EE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731" name="BC$K$31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A7C5AE3-EA4A-4934-B898-76481738F96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729" name="BC$K$31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12A1B9D-5159-4952-B114-331A91AD0953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727" name="BC$K$31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85000ED-EAD3-4C5C-A415-A54EBD7A1DB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725" name="BC$K$31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4621BD8-182E-4735-81BB-25FA54FBFD5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723" name="BC$K$31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E44114C-64AE-412A-9FA4-26CA8F3060A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721" name="BC$K$31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12315A5-60CD-43FB-9294-CF0D6608796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719" name="BC$K$31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C15080D-8756-4AA8-B035-5D941D9B70F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717" name="BC$K$31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4A52163-05C8-4400-839F-ACD08351DC2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715" name="BC$K$31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7EE47BC-73EB-49C2-8EFE-AB19622E01B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713" name="BC$K$31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7B9EEFC-FC96-4171-A525-C3B02288DEB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711" name="BC$K$31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1B899E2-2F8E-42A5-A921-46C6C6BAB38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709" name="BC$K$31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345E08C-5C90-4DD7-BE7E-1C02961D650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707" name="BC$K$31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B5DDAD7-E1C1-4C32-91D7-CB550C03348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705" name="BC$K$31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DF082ED-DCDB-4DA6-9B67-7E70A11F021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703" name="BC$K$31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1BA5B15-7443-45A0-AAD0-6D4268C6E36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701" name="BC$K$31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E420452-86C3-41B6-852C-3DDB669D086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699" name="BC$K$310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85C8BBA-9D13-4A0B-8C73-DC79022C770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700" name="BC$K$310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16FE3F3-5202-415B-AF6C-1AED8C0807A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702" name="BC$K$310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A136744-6720-4015-B56A-10B0A11790B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704" name="BC$K$310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A03BEAA-3BD6-4E58-8C5C-983823AB1D7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706" name="BC$K$310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03BB656-4715-4938-9920-B263918CEC6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708" name="BC$K$310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D67434A-C2BC-437F-826F-EFDA03565E8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710" name="BC$K$310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BD342DE-259B-4F05-9CC2-79A265E0494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712" name="BC$K$310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81EAEC2-A81A-465C-B16C-532D1CAE428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714" name="BC$K$310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F2AEED4-0ED1-4BC5-A241-E734DEAD3FE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716" name="BC$K$310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91849C3-4266-4A22-9A1E-46D24B80FAB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718" name="BC$K$310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3413633-74A4-47AD-989C-017B5B46629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720" name="BC$K$310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5E42716-6004-4418-9045-3E6EEA23C493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722" name="BC$K$310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596DB1E8-4681-496F-B8AE-42A00FD7653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724" name="BC$K$310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33CFEA6-CE8E-457A-8B13-A5C03BFF4F7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726" name="BC$K$310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C3ED25F-438E-4BBD-8209-B7467B9499C1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728" name="BC$K$310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E20D7F6-A6DE-4A65-97EE-814BCE279E1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730" name="BC$K$310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ED1E639-ED50-43AB-8BC2-FFA1BC72A71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732" name="BC$K$310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C3E8853-6875-4EC5-8AFC-C4AAC04AAD9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734" name="BC$K$310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4A657D8-9898-4197-A673-BDC862E2B5D6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736" name="BC$K$310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B41CAF2-4DB3-4DD3-9DE4-39D8FDA4A1F3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738" name="BC$K$310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BB79617-E1D4-4077-8020-C3261D63667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740" name="BC$K$310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04B9BAF-04A3-4444-A269-BCB5CD1FFA6C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742" name="BC$K$310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0DF051E-7D98-4986-880B-A946D6FD6A64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744" name="BC$K$310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BFF7BA7-6777-4DA2-8BCF-458C2F7B3D6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746" name="BC$K$310#BR24">
                                      <a:extLst>
                                        <a:ext uri="{FF2B5EF4-FFF2-40B4-BE49-F238E27FC236}">
                                          <a16:creationId xmlns:a16="http://schemas.microsoft.com/office/drawing/2014/main" id="{4B5AEFC9-B016-48C2-BF02-059E7D3EF47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748" name="BC$K$310#BR25">
                                    <a:extLst>
                                      <a:ext uri="{FF2B5EF4-FFF2-40B4-BE49-F238E27FC236}">
                                        <a16:creationId xmlns:a16="http://schemas.microsoft.com/office/drawing/2014/main" id="{586F0181-D44C-4A6D-84FA-7C55B3DB449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750" name="BC$K$310#BR26">
                                  <a:extLst>
                                    <a:ext uri="{FF2B5EF4-FFF2-40B4-BE49-F238E27FC236}">
                                      <a16:creationId xmlns:a16="http://schemas.microsoft.com/office/drawing/2014/main" id="{8C5EF00C-8B4E-49DB-9FEB-F2505837096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752" name="BC$K$310#BR27">
                                <a:extLst>
                                  <a:ext uri="{FF2B5EF4-FFF2-40B4-BE49-F238E27FC236}">
                                    <a16:creationId xmlns:a16="http://schemas.microsoft.com/office/drawing/2014/main" id="{5BF25941-494E-4816-8AB3-FBF858D4D96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754" name="BC$K$310#BR28">
                              <a:extLst>
                                <a:ext uri="{FF2B5EF4-FFF2-40B4-BE49-F238E27FC236}">
                                  <a16:creationId xmlns:a16="http://schemas.microsoft.com/office/drawing/2014/main" id="{A7E32320-C267-4892-8787-4ABAAB1B367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756" name="BC$K$310#BR29">
                            <a:extLst>
                              <a:ext uri="{FF2B5EF4-FFF2-40B4-BE49-F238E27FC236}">
                                <a16:creationId xmlns:a16="http://schemas.microsoft.com/office/drawing/2014/main" id="{1B8DED5B-753B-4322-91C7-AD6ABF08399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758" name="BC$K$310#BR30">
                          <a:extLst>
                            <a:ext uri="{FF2B5EF4-FFF2-40B4-BE49-F238E27FC236}">
                              <a16:creationId xmlns:a16="http://schemas.microsoft.com/office/drawing/2014/main" id="{1E46C0E1-6796-4F1B-80BC-9C527940A2D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760" name="BC$K$310#BR31">
                        <a:extLst>
                          <a:ext uri="{FF2B5EF4-FFF2-40B4-BE49-F238E27FC236}">
                            <a16:creationId xmlns:a16="http://schemas.microsoft.com/office/drawing/2014/main" id="{E2D1033B-93A2-41E9-AF34-23E777E35406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762" name="BC$K$310#BR32">
                      <a:extLst>
                        <a:ext uri="{FF2B5EF4-FFF2-40B4-BE49-F238E27FC236}">
                          <a16:creationId xmlns:a16="http://schemas.microsoft.com/office/drawing/2014/main" id="{031EE910-A3B0-4A12-B054-EB99250B5ED2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764" name="BC$K$310#BR33">
                    <a:extLst>
                      <a:ext uri="{FF2B5EF4-FFF2-40B4-BE49-F238E27FC236}">
                        <a16:creationId xmlns:a16="http://schemas.microsoft.com/office/drawing/2014/main" id="{038698AA-4A49-4DBA-B95D-729FC4225CF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766" name="BC$K$310#BR34">
                  <a:extLst>
                    <a:ext uri="{FF2B5EF4-FFF2-40B4-BE49-F238E27FC236}">
                      <a16:creationId xmlns:a16="http://schemas.microsoft.com/office/drawing/2014/main" id="{8BB264D8-7389-4BCF-999D-A0BE0801E29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768" name="BC$K$310#BR35">
                <a:extLst>
                  <a:ext uri="{FF2B5EF4-FFF2-40B4-BE49-F238E27FC236}">
                    <a16:creationId xmlns:a16="http://schemas.microsoft.com/office/drawing/2014/main" id="{B549AA39-2361-4E89-A989-F8CEF3D17BA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770" name="BC$K$310#BR36">
              <a:extLst>
                <a:ext uri="{FF2B5EF4-FFF2-40B4-BE49-F238E27FC236}">
                  <a16:creationId xmlns:a16="http://schemas.microsoft.com/office/drawing/2014/main" id="{226229FE-F814-470E-813D-A03880EF83C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772" name="BC$K$310#BR37">
            <a:extLst>
              <a:ext uri="{FF2B5EF4-FFF2-40B4-BE49-F238E27FC236}">
                <a16:creationId xmlns:a16="http://schemas.microsoft.com/office/drawing/2014/main" id="{841F4D5F-C772-4344-8E88-AC0DA13AB8F0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327</xdr:row>
      <xdr:rowOff>9525</xdr:rowOff>
    </xdr:from>
    <xdr:to>
      <xdr:col>13</xdr:col>
      <xdr:colOff>209550</xdr:colOff>
      <xdr:row>329</xdr:row>
      <xdr:rowOff>9525</xdr:rowOff>
    </xdr:to>
    <xdr:grpSp>
      <xdr:nvGrpSpPr>
        <xdr:cNvPr id="9923" name="BC$K$321#GR">
          <a:extLst>
            <a:ext uri="{FF2B5EF4-FFF2-40B4-BE49-F238E27FC236}">
              <a16:creationId xmlns:a16="http://schemas.microsoft.com/office/drawing/2014/main" id="{7CFF7028-5FAB-45FC-9A55-5027D9F14660}"/>
            </a:ext>
          </a:extLst>
        </xdr:cNvPr>
        <xdr:cNvGrpSpPr/>
      </xdr:nvGrpSpPr>
      <xdr:grpSpPr>
        <a:xfrm>
          <a:off x="2676525" y="62207775"/>
          <a:ext cx="381000" cy="381000"/>
          <a:chOff x="0" y="0"/>
          <a:chExt cx="381000" cy="381000"/>
        </a:xfrm>
      </xdr:grpSpPr>
      <xdr:grpSp>
        <xdr:nvGrpSpPr>
          <xdr:cNvPr id="9921" name="BC$K$321#GR">
            <a:extLst>
              <a:ext uri="{FF2B5EF4-FFF2-40B4-BE49-F238E27FC236}">
                <a16:creationId xmlns:a16="http://schemas.microsoft.com/office/drawing/2014/main" id="{391960FB-C7A4-4B8F-9517-6E591A3B31F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919" name="BC$K$321#GR">
              <a:extLst>
                <a:ext uri="{FF2B5EF4-FFF2-40B4-BE49-F238E27FC236}">
                  <a16:creationId xmlns:a16="http://schemas.microsoft.com/office/drawing/2014/main" id="{9AE9BACC-F0A3-4DB6-9D76-A2375CAB076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917" name="BC$K$321#GR">
                <a:extLst>
                  <a:ext uri="{FF2B5EF4-FFF2-40B4-BE49-F238E27FC236}">
                    <a16:creationId xmlns:a16="http://schemas.microsoft.com/office/drawing/2014/main" id="{FFAC1931-2DBA-4E29-95C7-FE26981473B7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915" name="BC$K$321#GR">
                  <a:extLst>
                    <a:ext uri="{FF2B5EF4-FFF2-40B4-BE49-F238E27FC236}">
                      <a16:creationId xmlns:a16="http://schemas.microsoft.com/office/drawing/2014/main" id="{B378D1F6-C1DA-4933-9E62-AEAD683FE9A7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913" name="BC$K$321#GR">
                    <a:extLst>
                      <a:ext uri="{FF2B5EF4-FFF2-40B4-BE49-F238E27FC236}">
                        <a16:creationId xmlns:a16="http://schemas.microsoft.com/office/drawing/2014/main" id="{04F6D291-49AA-4EA5-9098-D39253383772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911" name="BC$K$321#GR">
                      <a:extLst>
                        <a:ext uri="{FF2B5EF4-FFF2-40B4-BE49-F238E27FC236}">
                          <a16:creationId xmlns:a16="http://schemas.microsoft.com/office/drawing/2014/main" id="{D828CEB0-2DFD-4863-97E9-A83209D7E04C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909" name="BC$K$321#GR">
                        <a:extLst>
                          <a:ext uri="{FF2B5EF4-FFF2-40B4-BE49-F238E27FC236}">
                            <a16:creationId xmlns:a16="http://schemas.microsoft.com/office/drawing/2014/main" id="{67F1C9D6-EDE7-4C96-B0E8-19E48A4EB59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907" name="BC$K$321#GR">
                          <a:extLst>
                            <a:ext uri="{FF2B5EF4-FFF2-40B4-BE49-F238E27FC236}">
                              <a16:creationId xmlns:a16="http://schemas.microsoft.com/office/drawing/2014/main" id="{3CA77E52-7F03-4E1A-AB7D-E2FB11C3961D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905" name="BC$K$321#GR">
                            <a:extLst>
                              <a:ext uri="{FF2B5EF4-FFF2-40B4-BE49-F238E27FC236}">
                                <a16:creationId xmlns:a16="http://schemas.microsoft.com/office/drawing/2014/main" id="{D65D509D-83AE-4BE4-8277-7B22A4381EA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903" name="BC$K$321#GR">
                              <a:extLst>
                                <a:ext uri="{FF2B5EF4-FFF2-40B4-BE49-F238E27FC236}">
                                  <a16:creationId xmlns:a16="http://schemas.microsoft.com/office/drawing/2014/main" id="{72B2972C-7B2C-4D40-B030-357E640CDA5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901" name="BC$K$321#GR">
                                <a:extLst>
                                  <a:ext uri="{FF2B5EF4-FFF2-40B4-BE49-F238E27FC236}">
                                    <a16:creationId xmlns:a16="http://schemas.microsoft.com/office/drawing/2014/main" id="{3C795D0F-E290-41E6-8A20-6C46204FB239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899" name="BC$K$321#GR">
                                  <a:extLst>
                                    <a:ext uri="{FF2B5EF4-FFF2-40B4-BE49-F238E27FC236}">
                                      <a16:creationId xmlns:a16="http://schemas.microsoft.com/office/drawing/2014/main" id="{A3061174-1429-4E18-8A84-66EFDC41E2C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897" name="BC$K$321#GR">
                                    <a:extLst>
                                      <a:ext uri="{FF2B5EF4-FFF2-40B4-BE49-F238E27FC236}">
                                        <a16:creationId xmlns:a16="http://schemas.microsoft.com/office/drawing/2014/main" id="{BD5ED5C2-FE26-4EDF-8FCF-9B7EF264E08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895" name="BC$K$321#GR">
                                      <a:extLst>
                                        <a:ext uri="{FF2B5EF4-FFF2-40B4-BE49-F238E27FC236}">
                                          <a16:creationId xmlns:a16="http://schemas.microsoft.com/office/drawing/2014/main" id="{3288EC34-9C63-44D0-BAC6-2826BC704D4D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893" name="BC$K$32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CFD16A7-3F73-4627-8ABB-77BF4191572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891" name="BC$K$32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57287AF-379D-4A9D-8ABA-2860A9BC63D8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889" name="BC$K$32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9550CF0-292E-484D-AD49-FBBFF33FD97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887" name="BC$K$32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F57C3C3-5E5B-44B9-A5FD-3A7A15838B9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885" name="BC$K$32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9306653-68D5-44A3-8387-C78BEC3DF8E3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883" name="BC$K$32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D6227A8-8BDD-49EE-AFAB-2B7ACBC3504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881" name="BC$K$32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6657441-7E61-4938-8E4B-6D4C9E63FD8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879" name="BC$K$32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D7B24A7-CF3F-44D9-AB1A-B57C26B941B1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877" name="BC$K$32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CB731EF-C000-49D4-8173-546BF80E53FB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875" name="BC$K$32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46360D3-62D2-47C2-A350-B5967BCFDF9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873" name="BC$K$32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62933EF-7361-44FA-89C2-718A227E189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871" name="BC$K$32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055259C-B103-4926-8D9A-D86FC97D5B9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869" name="BC$K$32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1436F0B-A2A8-4294-B0A7-5E6E07E4FCC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867" name="BC$K$32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FF8DC38-8443-4573-B72D-FFF39EB4249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865" name="BC$K$32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524B6DC-ED6D-4694-ADB6-6D42CEAAE58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863" name="BC$K$32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613EF50-2863-4E2D-90F1-22E0D59F66F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861" name="BC$K$32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D5CCCB4-6775-4B2F-BC7B-9860B9513C7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859" name="BC$K$32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0C7DED2-13E8-4F0E-AE9F-3A492E6602D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857" name="BC$K$32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0A4EE83-30AB-419A-83F3-F81F19B2377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855" name="BC$K$32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BF18652-64A2-4BEE-8A98-857E11271BD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853" name="BC$K$32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D8F954D-22C2-416B-A83A-3A7000387FB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851" name="BC$K$32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8670EA9-7CDC-4CD4-BDF7-12AEA87AF4E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849" name="BC$K$321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8AAD2F9-06E4-4850-91A5-11317C64F13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850" name="BC$K$321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656414A-4B0B-4069-A0F1-FC216E819A3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852" name="BC$K$321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4D8A27C-CA26-4C45-AB17-EB31A190DFF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854" name="BC$K$321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B37987F-614E-465A-AB16-4B83D9D3A41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856" name="BC$K$321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CFC1C2A-3997-48FA-AF1B-4B8CBEB74D1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858" name="BC$K$321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4E40323-F8D4-41B2-97CF-B3FF22CCE3F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860" name="BC$K$321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CEF11E8-CD81-48CA-B686-47DB0248721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862" name="BC$K$321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55FE41D-D426-4BB6-8984-FB9D162AEBF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864" name="BC$K$321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3AA38A2-DC6D-4DDD-95C1-C4FC61E2D7F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866" name="BC$K$321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2139554-9936-4EF0-B395-B8C9EACA59E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868" name="BC$K$321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9487802-43F0-42ED-AD99-A603BE24798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870" name="BC$K$321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0C87D2E-1029-4E42-8606-4F072DB2D99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872" name="BC$K$321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69E7333-5EF9-4724-A71A-9F70FA044FB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874" name="BC$K$321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03CDFFC-51DD-49E3-9298-9851E24CB813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876" name="BC$K$321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3667E5E-0400-4DA2-9984-6D501871CF4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878" name="BC$K$321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79CB022-BA32-439E-808E-AC7D3421920D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880" name="BC$K$321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1C355D5-7E4D-4818-A868-211800C5190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882" name="BC$K$321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A0DBDC8-C3D0-4A5D-B973-868F4A6132A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884" name="BC$K$321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8E8E40B-F5CF-46B2-9804-C9E4230BAD97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886" name="BC$K$321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1B9B6E0-11FA-4522-A4AB-CB363C8AA09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888" name="BC$K$321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C3EB2DE-9B4E-4123-8201-738C78A4C57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890" name="BC$K$321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39B9364-1170-460F-94B2-713EC2ADD5A2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892" name="BC$K$321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D872933-1347-4DA7-BAD5-5E513122A58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894" name="BC$K$321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1F949EA-76C5-4032-92B4-E255A114285E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896" name="BC$K$321#BR24">
                                      <a:extLst>
                                        <a:ext uri="{FF2B5EF4-FFF2-40B4-BE49-F238E27FC236}">
                                          <a16:creationId xmlns:a16="http://schemas.microsoft.com/office/drawing/2014/main" id="{7A7DA094-CFFD-4CB2-BF21-2695840B42F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898" name="BC$K$321#BR25">
                                    <a:extLst>
                                      <a:ext uri="{FF2B5EF4-FFF2-40B4-BE49-F238E27FC236}">
                                        <a16:creationId xmlns:a16="http://schemas.microsoft.com/office/drawing/2014/main" id="{D0231A19-2459-4F82-BB8F-AA340956158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900" name="BC$K$321#BR26">
                                  <a:extLst>
                                    <a:ext uri="{FF2B5EF4-FFF2-40B4-BE49-F238E27FC236}">
                                      <a16:creationId xmlns:a16="http://schemas.microsoft.com/office/drawing/2014/main" id="{F7290CCB-1C5F-409E-B6EE-C6D90A5DB9B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902" name="BC$K$321#BR27">
                                <a:extLst>
                                  <a:ext uri="{FF2B5EF4-FFF2-40B4-BE49-F238E27FC236}">
                                    <a16:creationId xmlns:a16="http://schemas.microsoft.com/office/drawing/2014/main" id="{7FE260FD-2EA5-4353-BD6C-B0DE3C95ACA8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904" name="BC$K$321#BR28">
                              <a:extLst>
                                <a:ext uri="{FF2B5EF4-FFF2-40B4-BE49-F238E27FC236}">
                                  <a16:creationId xmlns:a16="http://schemas.microsoft.com/office/drawing/2014/main" id="{7186028A-8D9C-49E1-B9CB-7CF7AD0ECC4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906" name="BC$K$321#BR29">
                            <a:extLst>
                              <a:ext uri="{FF2B5EF4-FFF2-40B4-BE49-F238E27FC236}">
                                <a16:creationId xmlns:a16="http://schemas.microsoft.com/office/drawing/2014/main" id="{9AA43523-5848-42F8-889D-EF18B23C9E7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908" name="BC$K$321#BR30">
                          <a:extLst>
                            <a:ext uri="{FF2B5EF4-FFF2-40B4-BE49-F238E27FC236}">
                              <a16:creationId xmlns:a16="http://schemas.microsoft.com/office/drawing/2014/main" id="{77A8F11E-71E4-48F8-847D-93EC8BE19E0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910" name="BC$K$321#BR31">
                        <a:extLst>
                          <a:ext uri="{FF2B5EF4-FFF2-40B4-BE49-F238E27FC236}">
                            <a16:creationId xmlns:a16="http://schemas.microsoft.com/office/drawing/2014/main" id="{7940D1C8-657B-4AE4-A8BE-ED359CB17B8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912" name="BC$K$321#BR32">
                      <a:extLst>
                        <a:ext uri="{FF2B5EF4-FFF2-40B4-BE49-F238E27FC236}">
                          <a16:creationId xmlns:a16="http://schemas.microsoft.com/office/drawing/2014/main" id="{07CA18E9-92FE-4D3C-8981-3826EDF5BCB8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914" name="BC$K$321#BR33">
                    <a:extLst>
                      <a:ext uri="{FF2B5EF4-FFF2-40B4-BE49-F238E27FC236}">
                        <a16:creationId xmlns:a16="http://schemas.microsoft.com/office/drawing/2014/main" id="{F84CD8D7-5E8B-4303-B742-77D7CC83C2CB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916" name="BC$K$321#BR34">
                  <a:extLst>
                    <a:ext uri="{FF2B5EF4-FFF2-40B4-BE49-F238E27FC236}">
                      <a16:creationId xmlns:a16="http://schemas.microsoft.com/office/drawing/2014/main" id="{1306C0C5-FDE1-4FBE-900E-472063DB1A37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918" name="BC$K$321#BR35">
                <a:extLst>
                  <a:ext uri="{FF2B5EF4-FFF2-40B4-BE49-F238E27FC236}">
                    <a16:creationId xmlns:a16="http://schemas.microsoft.com/office/drawing/2014/main" id="{8F1B9D55-F777-4CD4-9F49-889F503F263D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920" name="BC$K$321#BR36">
              <a:extLst>
                <a:ext uri="{FF2B5EF4-FFF2-40B4-BE49-F238E27FC236}">
                  <a16:creationId xmlns:a16="http://schemas.microsoft.com/office/drawing/2014/main" id="{7223EDCE-602D-4CD2-AA0F-001676575CE8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922" name="BC$K$321#BR37">
            <a:extLst>
              <a:ext uri="{FF2B5EF4-FFF2-40B4-BE49-F238E27FC236}">
                <a16:creationId xmlns:a16="http://schemas.microsoft.com/office/drawing/2014/main" id="{F09A6EF7-C9B0-46B3-8647-8EF1792C8D17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316</xdr:row>
      <xdr:rowOff>9525</xdr:rowOff>
    </xdr:from>
    <xdr:to>
      <xdr:col>27</xdr:col>
      <xdr:colOff>190500</xdr:colOff>
      <xdr:row>318</xdr:row>
      <xdr:rowOff>9525</xdr:rowOff>
    </xdr:to>
    <xdr:grpSp>
      <xdr:nvGrpSpPr>
        <xdr:cNvPr id="10002" name="BC$Y$310#GR">
          <a:extLst>
            <a:ext uri="{FF2B5EF4-FFF2-40B4-BE49-F238E27FC236}">
              <a16:creationId xmlns:a16="http://schemas.microsoft.com/office/drawing/2014/main" id="{56BA4363-9103-44EE-B2A2-0031FE9499AA}"/>
            </a:ext>
          </a:extLst>
        </xdr:cNvPr>
        <xdr:cNvGrpSpPr/>
      </xdr:nvGrpSpPr>
      <xdr:grpSpPr>
        <a:xfrm>
          <a:off x="5772150" y="60112275"/>
          <a:ext cx="381000" cy="381000"/>
          <a:chOff x="0" y="0"/>
          <a:chExt cx="381000" cy="381000"/>
        </a:xfrm>
      </xdr:grpSpPr>
      <xdr:grpSp>
        <xdr:nvGrpSpPr>
          <xdr:cNvPr id="10000" name="BC$Y$310#GR">
            <a:extLst>
              <a:ext uri="{FF2B5EF4-FFF2-40B4-BE49-F238E27FC236}">
                <a16:creationId xmlns:a16="http://schemas.microsoft.com/office/drawing/2014/main" id="{CF4CCAA7-2179-45B5-9C18-F6D3DA258703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9998" name="BC$Y$310#GR">
              <a:extLst>
                <a:ext uri="{FF2B5EF4-FFF2-40B4-BE49-F238E27FC236}">
                  <a16:creationId xmlns:a16="http://schemas.microsoft.com/office/drawing/2014/main" id="{19373498-9B29-4E6F-AE23-9A005C0CC6B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9996" name="BC$Y$310#GR">
                <a:extLst>
                  <a:ext uri="{FF2B5EF4-FFF2-40B4-BE49-F238E27FC236}">
                    <a16:creationId xmlns:a16="http://schemas.microsoft.com/office/drawing/2014/main" id="{AE288C03-CC1C-468F-A3E9-8C03B8AF9AAB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9994" name="BC$Y$310#GR">
                  <a:extLst>
                    <a:ext uri="{FF2B5EF4-FFF2-40B4-BE49-F238E27FC236}">
                      <a16:creationId xmlns:a16="http://schemas.microsoft.com/office/drawing/2014/main" id="{D701E4B5-05D5-4BDA-BE48-96223AA43C5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9992" name="BC$Y$310#GR">
                    <a:extLst>
                      <a:ext uri="{FF2B5EF4-FFF2-40B4-BE49-F238E27FC236}">
                        <a16:creationId xmlns:a16="http://schemas.microsoft.com/office/drawing/2014/main" id="{F993A160-4702-4DEF-8CE5-6A17DE910DAF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9990" name="BC$Y$310#GR">
                      <a:extLst>
                        <a:ext uri="{FF2B5EF4-FFF2-40B4-BE49-F238E27FC236}">
                          <a16:creationId xmlns:a16="http://schemas.microsoft.com/office/drawing/2014/main" id="{A82A5BF7-43EF-4B49-97F5-1E0B973FE9F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9988" name="BC$Y$310#GR">
                        <a:extLst>
                          <a:ext uri="{FF2B5EF4-FFF2-40B4-BE49-F238E27FC236}">
                            <a16:creationId xmlns:a16="http://schemas.microsoft.com/office/drawing/2014/main" id="{3A67C7C3-DC24-4943-8359-91ADD45E21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9986" name="BC$Y$310#GR">
                          <a:extLst>
                            <a:ext uri="{FF2B5EF4-FFF2-40B4-BE49-F238E27FC236}">
                              <a16:creationId xmlns:a16="http://schemas.microsoft.com/office/drawing/2014/main" id="{D21CAD4D-CCB4-4D96-99CE-D8A7EE4E913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9984" name="BC$Y$310#GR">
                            <a:extLst>
                              <a:ext uri="{FF2B5EF4-FFF2-40B4-BE49-F238E27FC236}">
                                <a16:creationId xmlns:a16="http://schemas.microsoft.com/office/drawing/2014/main" id="{6315F079-9502-407E-B138-CE4F5718044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9982" name="BC$Y$310#GR">
                              <a:extLst>
                                <a:ext uri="{FF2B5EF4-FFF2-40B4-BE49-F238E27FC236}">
                                  <a16:creationId xmlns:a16="http://schemas.microsoft.com/office/drawing/2014/main" id="{EC0C32F0-4AD1-48AB-9ED1-1F1F15E8A605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9980" name="BC$Y$310#GR">
                                <a:extLst>
                                  <a:ext uri="{FF2B5EF4-FFF2-40B4-BE49-F238E27FC236}">
                                    <a16:creationId xmlns:a16="http://schemas.microsoft.com/office/drawing/2014/main" id="{E52A6130-F003-4C6B-8FB6-7BE8C5E4B66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9978" name="BC$Y$310#GR">
                                  <a:extLst>
                                    <a:ext uri="{FF2B5EF4-FFF2-40B4-BE49-F238E27FC236}">
                                      <a16:creationId xmlns:a16="http://schemas.microsoft.com/office/drawing/2014/main" id="{00482348-A5FC-4989-BE6F-28BEF31F5CD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9976" name="BC$Y$310#GR">
                                    <a:extLst>
                                      <a:ext uri="{FF2B5EF4-FFF2-40B4-BE49-F238E27FC236}">
                                        <a16:creationId xmlns:a16="http://schemas.microsoft.com/office/drawing/2014/main" id="{3D60506A-BC36-4462-A306-04EEA7C24FF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9974" name="BC$Y$310#GR">
                                      <a:extLst>
                                        <a:ext uri="{FF2B5EF4-FFF2-40B4-BE49-F238E27FC236}">
                                          <a16:creationId xmlns:a16="http://schemas.microsoft.com/office/drawing/2014/main" id="{29A55C3D-6492-443F-9952-E168ECAE68E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9972" name="BC$Y$31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F80AB0A-EBEF-40E0-849D-F56E18DE279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9970" name="BC$Y$31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8D398EE-A533-4723-AB66-63280E5713E6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9968" name="BC$Y$31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019A1EC-6A3B-48A4-9E36-1C82F0E40B25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966" name="BC$Y$31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9A0490F-3762-4A5A-9284-DC8F163AAC6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964" name="BC$Y$31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90EA409-8D3C-48FC-9F6A-61152366CBAD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962" name="BC$Y$31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03997A6-7605-42EF-9D40-6CDBFEF7B4CA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960" name="BC$Y$31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C36F7B4-CB58-42D7-8FCC-3BF4D97FFAEC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958" name="BC$Y$31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E8D45B2-BA7A-4EE4-B681-F187D507C76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956" name="BC$Y$31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F37CE9B-1D5E-4B18-A077-FBE0E4B57C9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954" name="BC$Y$31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825E29A-B904-47FE-98F1-956842817E59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952" name="BC$Y$31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5048F2C-42F2-49BF-83B1-2B31DB1A307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950" name="BC$Y$31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97A1621-267B-4AA2-B7CD-B80C5545CB3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948" name="BC$Y$31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6017B62-33D1-436B-936B-C9BBBB96A5A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946" name="BC$Y$31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00E6607-4FBB-4A73-AE38-04071BBC22E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944" name="BC$Y$31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7126040-2F9E-4FFF-BB50-C162FFAA346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942" name="BC$Y$31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E32DD50-E702-459E-9D84-578F4CCBD25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940" name="BC$Y$31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30A2F74-A8F3-4C45-ABA2-B7EA89C0378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938" name="BC$Y$31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B2FBCD7-385D-4939-83BB-223CE123798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936" name="BC$Y$31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0FAAB2C-AF8D-4386-89CC-A2654098CD0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934" name="BC$Y$31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528343B-1BAF-4FDE-9EC5-2F21AFC425E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932" name="BC$Y$31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F352935-A20C-4EC2-A6C4-968870278F2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930" name="BC$Y$31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26144C5-A28D-4AAD-ADBA-CFB1839C04E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9928" name="BC$Y$310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5D6AEDF-993B-417C-9710-AE3D2CBAB10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9926" name="BC$Y$310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02A62A5-4127-419F-BA86-D27332A9A58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9924" name="BC$Y$310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17DD9D63-9D45-4A79-B8DC-DDBA4DCCC749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9925" name="BC$Y$310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86812810-66E5-4A17-BAAF-CAE82C86012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9927" name="BC$Y$310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442B36DE-137F-4A12-BEFD-35D5753C79F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929" name="BC$Y$310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D171E7C-5418-4781-AAA4-FC68E339324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931" name="BC$Y$310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7218C23-00E8-4821-9405-C17A95D392B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933" name="BC$Y$310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DBA3A2B-82CB-4F36-98E4-E9AEDD399FE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935" name="BC$Y$310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3DC95D9-54BC-4A4B-9009-91553C0E824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937" name="BC$Y$310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B262C03-A179-4EC1-AACC-6614B05CF43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939" name="BC$Y$310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3762296-967C-4B92-B329-2A4C6EDC39E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941" name="BC$Y$310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4F7ABCA-3BDA-42EC-B9C0-15645A86F87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943" name="BC$Y$310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8049D75-A5D3-41E3-A0F3-7214EE4F510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945" name="BC$Y$310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93A7745-E755-461F-87B8-B2B39911A79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947" name="BC$Y$310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5AFD2C4-D664-4586-A5E6-1698A600729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949" name="BC$Y$310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4FBC593-8CC9-4A1E-BAF7-FE407A7B34F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951" name="BC$Y$310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BAE01E5-6935-4052-AD17-159A9C22067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953" name="BC$Y$310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3D5CBB0-9D9D-4389-9FBD-229BF165622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955" name="BC$Y$310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A955CEF-655C-42D5-A0EB-912CD9785DF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957" name="BC$Y$310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5ADD8A8-4FB4-451A-9555-D421DF4C05FD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959" name="BC$Y$310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46920A9-5A71-4026-9249-79178F20A94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961" name="BC$Y$310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378EE4E-52E2-42FF-A188-BA95F5EF1C56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963" name="BC$Y$310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4E29A8D-B826-4BBE-9C92-E82B5986CC4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965" name="BC$Y$310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31B4234-6063-43F0-BC01-423FF8810E0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967" name="BC$Y$310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C732C65-EDA8-491A-AD6F-D045D41DFD95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969" name="BC$Y$310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03D27AC-E865-4F6F-89D2-F149F1ACECA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971" name="BC$Y$310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CC2540D-1670-4D09-8B61-A81579B54DE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973" name="BC$Y$310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197A517-C396-4350-A31A-836D5D33B4D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975" name="BC$Y$310#BR26">
                                      <a:extLst>
                                        <a:ext uri="{FF2B5EF4-FFF2-40B4-BE49-F238E27FC236}">
                                          <a16:creationId xmlns:a16="http://schemas.microsoft.com/office/drawing/2014/main" id="{B85697DA-2A96-4045-BCFD-FCB8F62A3CD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977" name="BC$Y$310#BR27">
                                    <a:extLst>
                                      <a:ext uri="{FF2B5EF4-FFF2-40B4-BE49-F238E27FC236}">
                                        <a16:creationId xmlns:a16="http://schemas.microsoft.com/office/drawing/2014/main" id="{751A0C2A-7D2F-436D-9E55-8121D3CC96B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979" name="BC$Y$310#BR28">
                                  <a:extLst>
                                    <a:ext uri="{FF2B5EF4-FFF2-40B4-BE49-F238E27FC236}">
                                      <a16:creationId xmlns:a16="http://schemas.microsoft.com/office/drawing/2014/main" id="{BDC4BC95-A918-4792-B9C4-DA8940D9738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981" name="BC$Y$310#BR29">
                                <a:extLst>
                                  <a:ext uri="{FF2B5EF4-FFF2-40B4-BE49-F238E27FC236}">
                                    <a16:creationId xmlns:a16="http://schemas.microsoft.com/office/drawing/2014/main" id="{A38148D0-A0BB-412A-9D58-8CF8F41E83B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983" name="BC$Y$310#BR30">
                              <a:extLst>
                                <a:ext uri="{FF2B5EF4-FFF2-40B4-BE49-F238E27FC236}">
                                  <a16:creationId xmlns:a16="http://schemas.microsoft.com/office/drawing/2014/main" id="{8A590531-7BF0-4226-9606-A98058F58DCB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985" name="BC$Y$310#BR31">
                            <a:extLst>
                              <a:ext uri="{FF2B5EF4-FFF2-40B4-BE49-F238E27FC236}">
                                <a16:creationId xmlns:a16="http://schemas.microsoft.com/office/drawing/2014/main" id="{04CDCC8C-C73B-4E69-AE67-454637DF1EFB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9987" name="BC$Y$310#BR32">
                          <a:extLst>
                            <a:ext uri="{FF2B5EF4-FFF2-40B4-BE49-F238E27FC236}">
                              <a16:creationId xmlns:a16="http://schemas.microsoft.com/office/drawing/2014/main" id="{E81C9E90-6A3A-4276-B408-1F0F18A0A50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9989" name="BC$Y$310#BR33">
                        <a:extLst>
                          <a:ext uri="{FF2B5EF4-FFF2-40B4-BE49-F238E27FC236}">
                            <a16:creationId xmlns:a16="http://schemas.microsoft.com/office/drawing/2014/main" id="{52BB6660-CA97-4DB5-8324-9293C3C744B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9991" name="BC$Y$310#BR34">
                      <a:extLst>
                        <a:ext uri="{FF2B5EF4-FFF2-40B4-BE49-F238E27FC236}">
                          <a16:creationId xmlns:a16="http://schemas.microsoft.com/office/drawing/2014/main" id="{04389D37-C40B-4490-816B-5D9CCDD85AE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9993" name="BC$Y$310#BR35">
                    <a:extLst>
                      <a:ext uri="{FF2B5EF4-FFF2-40B4-BE49-F238E27FC236}">
                        <a16:creationId xmlns:a16="http://schemas.microsoft.com/office/drawing/2014/main" id="{CFD696C7-5156-41A9-9566-18718A37F77B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9995" name="BC$Y$310#BR36">
                  <a:extLst>
                    <a:ext uri="{FF2B5EF4-FFF2-40B4-BE49-F238E27FC236}">
                      <a16:creationId xmlns:a16="http://schemas.microsoft.com/office/drawing/2014/main" id="{644A40BA-777A-410A-9FE5-22373AFAE7E4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9997" name="BC$Y$310#BR37">
                <a:extLst>
                  <a:ext uri="{FF2B5EF4-FFF2-40B4-BE49-F238E27FC236}">
                    <a16:creationId xmlns:a16="http://schemas.microsoft.com/office/drawing/2014/main" id="{DF0D352D-CDBA-4BC8-82A3-9995FA98F12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999" name="BC$Y$310#BR38">
              <a:extLst>
                <a:ext uri="{FF2B5EF4-FFF2-40B4-BE49-F238E27FC236}">
                  <a16:creationId xmlns:a16="http://schemas.microsoft.com/office/drawing/2014/main" id="{214037EC-9497-44B9-9936-A8FC7F37530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0001" name="BC$Y$310#BR39">
            <a:extLst>
              <a:ext uri="{FF2B5EF4-FFF2-40B4-BE49-F238E27FC236}">
                <a16:creationId xmlns:a16="http://schemas.microsoft.com/office/drawing/2014/main" id="{DBCF0C5D-F804-4D35-AAE4-8004FBA1931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327</xdr:row>
      <xdr:rowOff>0</xdr:rowOff>
    </xdr:from>
    <xdr:to>
      <xdr:col>27</xdr:col>
      <xdr:colOff>209550</xdr:colOff>
      <xdr:row>329</xdr:row>
      <xdr:rowOff>0</xdr:rowOff>
    </xdr:to>
    <xdr:grpSp>
      <xdr:nvGrpSpPr>
        <xdr:cNvPr id="10085" name="BC$Y$321#GR">
          <a:extLst>
            <a:ext uri="{FF2B5EF4-FFF2-40B4-BE49-F238E27FC236}">
              <a16:creationId xmlns:a16="http://schemas.microsoft.com/office/drawing/2014/main" id="{F7D14EC4-413C-47EB-9EC2-9247148E2552}"/>
            </a:ext>
          </a:extLst>
        </xdr:cNvPr>
        <xdr:cNvGrpSpPr/>
      </xdr:nvGrpSpPr>
      <xdr:grpSpPr>
        <a:xfrm>
          <a:off x="5791200" y="62198250"/>
          <a:ext cx="381000" cy="381000"/>
          <a:chOff x="0" y="0"/>
          <a:chExt cx="381000" cy="381000"/>
        </a:xfrm>
      </xdr:grpSpPr>
      <xdr:grpSp>
        <xdr:nvGrpSpPr>
          <xdr:cNvPr id="10083" name="BC$Y$321#GR">
            <a:extLst>
              <a:ext uri="{FF2B5EF4-FFF2-40B4-BE49-F238E27FC236}">
                <a16:creationId xmlns:a16="http://schemas.microsoft.com/office/drawing/2014/main" id="{B207E02A-4374-465B-A802-2FFF36CF163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0081" name="BC$Y$321#GR">
              <a:extLst>
                <a:ext uri="{FF2B5EF4-FFF2-40B4-BE49-F238E27FC236}">
                  <a16:creationId xmlns:a16="http://schemas.microsoft.com/office/drawing/2014/main" id="{6414BC95-BC6D-43C1-9F2B-5A11A117313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0079" name="BC$Y$321#GR">
                <a:extLst>
                  <a:ext uri="{FF2B5EF4-FFF2-40B4-BE49-F238E27FC236}">
                    <a16:creationId xmlns:a16="http://schemas.microsoft.com/office/drawing/2014/main" id="{5F12E685-4CEC-4451-ABF8-E27DF8757FD3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0077" name="BC$Y$321#GR">
                  <a:extLst>
                    <a:ext uri="{FF2B5EF4-FFF2-40B4-BE49-F238E27FC236}">
                      <a16:creationId xmlns:a16="http://schemas.microsoft.com/office/drawing/2014/main" id="{453786D3-69A8-4159-8E9D-8F44F7408D61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0075" name="BC$Y$321#GR">
                    <a:extLst>
                      <a:ext uri="{FF2B5EF4-FFF2-40B4-BE49-F238E27FC236}">
                        <a16:creationId xmlns:a16="http://schemas.microsoft.com/office/drawing/2014/main" id="{4F0D9DC6-583E-47DA-9543-6A62E61A6B0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0073" name="BC$Y$321#GR">
                      <a:extLst>
                        <a:ext uri="{FF2B5EF4-FFF2-40B4-BE49-F238E27FC236}">
                          <a16:creationId xmlns:a16="http://schemas.microsoft.com/office/drawing/2014/main" id="{C6EFE12B-BEF3-45FD-B4DC-F4BED06F04B7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0071" name="BC$Y$321#GR">
                        <a:extLst>
                          <a:ext uri="{FF2B5EF4-FFF2-40B4-BE49-F238E27FC236}">
                            <a16:creationId xmlns:a16="http://schemas.microsoft.com/office/drawing/2014/main" id="{BDC09EC1-7C3F-4E1B-B20E-3425DCA9573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0069" name="BC$Y$321#GR">
                          <a:extLst>
                            <a:ext uri="{FF2B5EF4-FFF2-40B4-BE49-F238E27FC236}">
                              <a16:creationId xmlns:a16="http://schemas.microsoft.com/office/drawing/2014/main" id="{9E581873-A83A-4CF6-960E-F6DEAF9CDE1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0067" name="BC$Y$321#GR">
                            <a:extLst>
                              <a:ext uri="{FF2B5EF4-FFF2-40B4-BE49-F238E27FC236}">
                                <a16:creationId xmlns:a16="http://schemas.microsoft.com/office/drawing/2014/main" id="{C89F691C-CFC0-4105-B583-3417A0FBD7B3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0065" name="BC$Y$321#GR">
                              <a:extLst>
                                <a:ext uri="{FF2B5EF4-FFF2-40B4-BE49-F238E27FC236}">
                                  <a16:creationId xmlns:a16="http://schemas.microsoft.com/office/drawing/2014/main" id="{D45C7432-DFAA-48A4-999A-DD969FDCFC5B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0063" name="BC$Y$321#GR">
                                <a:extLst>
                                  <a:ext uri="{FF2B5EF4-FFF2-40B4-BE49-F238E27FC236}">
                                    <a16:creationId xmlns:a16="http://schemas.microsoft.com/office/drawing/2014/main" id="{AA698246-5435-4D71-99D9-B254FCA27E3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0061" name="BC$Y$321#GR">
                                  <a:extLst>
                                    <a:ext uri="{FF2B5EF4-FFF2-40B4-BE49-F238E27FC236}">
                                      <a16:creationId xmlns:a16="http://schemas.microsoft.com/office/drawing/2014/main" id="{3EA17EE5-0C2B-49A9-B8DF-B5EC191ADCB2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0059" name="BC$Y$321#GR">
                                    <a:extLst>
                                      <a:ext uri="{FF2B5EF4-FFF2-40B4-BE49-F238E27FC236}">
                                        <a16:creationId xmlns:a16="http://schemas.microsoft.com/office/drawing/2014/main" id="{DB176013-3F5F-4890-89FD-FA0547FA6BD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0057" name="BC$Y$321#GR">
                                      <a:extLst>
                                        <a:ext uri="{FF2B5EF4-FFF2-40B4-BE49-F238E27FC236}">
                                          <a16:creationId xmlns:a16="http://schemas.microsoft.com/office/drawing/2014/main" id="{97BFD913-334C-4FE2-97B6-0357038E4DCE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0055" name="BC$Y$32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7E52A60-3CB8-4FEE-8033-0AE1B59DB689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0053" name="BC$Y$32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8F5F61F-B36A-49C1-8991-AC628EE424D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0051" name="BC$Y$32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74D0E12-E63E-4086-B9F6-D9DC95A100D5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0049" name="BC$Y$32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D5DFA8D-1513-4F7C-96C3-7E1202C3349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0047" name="BC$Y$32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74CF45E-2D29-49EF-804C-C695E36770AD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0045" name="BC$Y$32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CD13F6F-8680-450E-9111-5A90D320FC94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0043" name="BC$Y$32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94E2667-E2D2-42B3-855D-4DD750455E63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0041" name="BC$Y$32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366A529-EE29-4FAD-A24A-9176A69D2D2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0039" name="BC$Y$32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FB0D379-985E-415B-B6CE-7D6816C836B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0037" name="BC$Y$32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F8B9E65-307E-4217-BA61-D33C0F0153A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0035" name="BC$Y$32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2AB98FC-C142-4B21-A0D8-69142BD500C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0033" name="BC$Y$32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F01C91-379F-4B72-99C3-8200A7709D4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0031" name="BC$Y$32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8241BDD-0A65-4CB0-9E81-83E15CDF054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0029" name="BC$Y$32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8612284-E4E1-428E-9146-6EA0DE0A01F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0027" name="BC$Y$32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3F05125-B64E-413F-AE4A-9A2E514A9E5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0025" name="BC$Y$32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D5FF358-488A-4161-A807-167F0C7583B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0023" name="BC$Y$32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65E1BF1-312D-45A4-91C8-5081D2ECA02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0021" name="BC$Y$32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C07C264-D708-4F15-9D40-11393658487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0019" name="BC$Y$32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96767A5-7F20-4832-8BD3-92D4EDC52FB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0017" name="BC$Y$32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B75F54B-B2C4-417C-8778-6FB89C79B2E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0015" name="BC$Y$32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D9ED3B0-A791-4CE7-8952-AEC42B678FC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0013" name="BC$Y$32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10F8BEC-0C0E-44FA-BD39-4ECD8C4133E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0011" name="BC$Y$321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1EEDC62-930E-4079-8879-2EC5C7A8DD2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0009" name="BC$Y$321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11B067F1-6FD5-4E9E-A124-0C224245794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10007" name="BC$Y$321#GR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D2D0BE6-E51B-4ECD-A699-D4196AD6BE5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  <a:chOff x="0" y="0"/>
                                                                                        <a:chExt cx="381000" cy="3810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10005" name="BC$Y$321#GR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43733DC0-2F8F-4AEF-B5D8-2F7B3538725B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381000" cy="381000"/>
                                                                                          <a:chOff x="0" y="0"/>
                                                                                          <a:chExt cx="381000" cy="3810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0003" name="BC$Y$321#BK">
                                                                                            <a:extLst>
                                                                                              <a:ext uri="{FF2B5EF4-FFF2-40B4-BE49-F238E27FC236}">
                                                                                                <a16:creationId xmlns:a16="http://schemas.microsoft.com/office/drawing/2014/main" id="{6199894C-BEF3-446C-AB74-7AA6D482FEFB}"/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cNvPr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381000" cy="38100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FFFFFF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rgbClr val="FFFFFF"/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ru-RU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0004" name="BC$Y$321#BR1">
                                                                                            <a:extLst>
                                                                                              <a:ext uri="{FF2B5EF4-FFF2-40B4-BE49-F238E27FC236}">
                                                                                                <a16:creationId xmlns:a16="http://schemas.microsoft.com/office/drawing/2014/main" id="{625B84C3-0F02-409C-B663-F8BC5540B2EE}"/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cNvPr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31750" y="3175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ru-RU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10006" name="BC$Y$321#BR2">
                                                                                          <a:extLst>
                                                                                            <a:ext uri="{FF2B5EF4-FFF2-40B4-BE49-F238E27FC236}">
                                                                                              <a16:creationId xmlns:a16="http://schemas.microsoft.com/office/drawing/2014/main" id="{3234C524-A757-4EA7-AED7-16725FAF9BA9}"/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cNvPr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95250" y="317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ru-RU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0008" name="BC$Y$321#BR3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81B538D-1DC2-42AF-A627-E5CBA4F06A03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158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0010" name="BC$Y$321#BR4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4DDFFBD7-9735-4DCA-9AC4-E5714A2022A8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222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0012" name="BC$Y$321#BR5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7A11025-77D0-4CDF-99D7-E9CCA4E81DB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285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0014" name="BC$Y$321#BR6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D15C293-36CE-48B2-A776-2FE21D52C4B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31750" y="63500"/>
                                                                                  <a:ext cx="31750" cy="6350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0016" name="BC$Y$321#BR7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1541B69-13CE-4D72-82E3-F4A2950BE9B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3500" y="63500"/>
                                                                                <a:ext cx="31750" cy="6350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0018" name="BC$Y$321#BR8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4AEB5FB-8925-458C-A3B5-AE30FB7907C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12700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0020" name="BC$Y$321#BR9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281F8A9-1865-49B3-B7B8-AD9E08051AB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190500" y="63500"/>
                                                                            <a:ext cx="6350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0022" name="BC$Y$321#BR10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66D0602-41D2-4F6C-A852-F3490F284A0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285750" y="635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0024" name="BC$Y$321#BR11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434E9E4-63AB-42DC-BF53-47A6C2B61E1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6350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0026" name="BC$Y$321#BR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4457979-3604-4616-99A6-C75ED94385E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0028" name="BC$Y$321#BR13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5CC2F4F-B374-4EC2-BF47-A9FE8A5AD62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0030" name="BC$Y$321#BR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0E892C7-4EBC-49B5-9A12-53CE9F8EE54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270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0032" name="BC$Y$321#BR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8BF9DBF-6355-4E7B-9913-688E32A7B95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95250" y="158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0034" name="BC$Y$321#BR1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EDE98A7-8F3B-4EC3-89A8-E26DF283A12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58750" y="127000"/>
                                                              <a:ext cx="31750" cy="635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0036" name="BC$Y$321#BR1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B2AF9F1-3B6C-4A4D-B003-E1F57F5CC57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0038" name="BC$Y$321#BR18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36DD592-7CD2-496A-BE1D-60BC36B4810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90500" y="158750"/>
                                                          <a:ext cx="6350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0040" name="BC$Y$321#BR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4B3C8AB-AF25-4338-86AA-877DFCCD2CC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4000" y="127000"/>
                                                        <a:ext cx="31750" cy="635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0042" name="BC$Y$321#BR2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BDE28CA-9A6A-4E3F-84C1-8868E30F457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0044" name="BC$Y$321#BR2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215F7A1-E649-4F09-BADD-0E601A2ED47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1750" y="1905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0046" name="BC$Y$321#BR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26E9D20-D4C2-4479-8F17-641004AAA88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190500"/>
                                                  <a:ext cx="31750" cy="635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0048" name="BC$Y$321#BR2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FB56621-F723-48AB-B605-BAFAA347CF2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19050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0050" name="BC$Y$321#BR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2FEB3B5-3479-43AC-BA66-C2749AF153F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0052" name="BC$Y$321#BR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7D427DC-643D-4DEE-9128-FE70CC96460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22225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0054" name="BC$Y$321#BR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2976A4A-1593-4205-A068-0F26D616489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0056" name="BC$Y$321#BR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C9DE114-FBE3-4E1B-97CA-4CBBA90A3009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222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0058" name="BC$Y$321#BR28">
                                      <a:extLst>
                                        <a:ext uri="{FF2B5EF4-FFF2-40B4-BE49-F238E27FC236}">
                                          <a16:creationId xmlns:a16="http://schemas.microsoft.com/office/drawing/2014/main" id="{EB44107C-F7A7-4905-BF01-EC7B1A7E784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0060" name="BC$Y$321#BR29">
                                    <a:extLst>
                                      <a:ext uri="{FF2B5EF4-FFF2-40B4-BE49-F238E27FC236}">
                                        <a16:creationId xmlns:a16="http://schemas.microsoft.com/office/drawing/2014/main" id="{CBCFAF9D-5809-49F6-9301-192007ACE35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0062" name="BC$Y$321#BR30">
                                  <a:extLst>
                                    <a:ext uri="{FF2B5EF4-FFF2-40B4-BE49-F238E27FC236}">
                                      <a16:creationId xmlns:a16="http://schemas.microsoft.com/office/drawing/2014/main" id="{2CA79D6B-B7B5-4F59-8BA2-5773F924DB6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0064" name="BC$Y$321#BR31">
                                <a:extLst>
                                  <a:ext uri="{FF2B5EF4-FFF2-40B4-BE49-F238E27FC236}">
                                    <a16:creationId xmlns:a16="http://schemas.microsoft.com/office/drawing/2014/main" id="{77629495-3BB9-4A7B-BA00-1957481924DE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857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0066" name="BC$Y$321#BR32">
                              <a:extLst>
                                <a:ext uri="{FF2B5EF4-FFF2-40B4-BE49-F238E27FC236}">
                                  <a16:creationId xmlns:a16="http://schemas.microsoft.com/office/drawing/2014/main" id="{E01CD93D-5A63-4002-9CC4-68DB593CFF9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0068" name="BC$Y$321#BR33">
                            <a:extLst>
                              <a:ext uri="{FF2B5EF4-FFF2-40B4-BE49-F238E27FC236}">
                                <a16:creationId xmlns:a16="http://schemas.microsoft.com/office/drawing/2014/main" id="{69F343F7-205C-42CC-955F-CCCAC3ADBC0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54000"/>
                            <a:ext cx="31750" cy="6350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0070" name="BC$Y$321#BR34">
                          <a:extLst>
                            <a:ext uri="{FF2B5EF4-FFF2-40B4-BE49-F238E27FC236}">
                              <a16:creationId xmlns:a16="http://schemas.microsoft.com/office/drawing/2014/main" id="{C0E12156-A7C6-491E-AD47-252E8D576EF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0072" name="BC$Y$321#BR35">
                        <a:extLst>
                          <a:ext uri="{FF2B5EF4-FFF2-40B4-BE49-F238E27FC236}">
                            <a16:creationId xmlns:a16="http://schemas.microsoft.com/office/drawing/2014/main" id="{75D2C8F3-D651-466B-B5E5-ED775801B80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0074" name="BC$Y$321#BR36">
                      <a:extLst>
                        <a:ext uri="{FF2B5EF4-FFF2-40B4-BE49-F238E27FC236}">
                          <a16:creationId xmlns:a16="http://schemas.microsoft.com/office/drawing/2014/main" id="{CA9DC216-716D-4E28-8722-CC0DFD05B1F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0076" name="BC$Y$321#BR37">
                    <a:extLst>
                      <a:ext uri="{FF2B5EF4-FFF2-40B4-BE49-F238E27FC236}">
                        <a16:creationId xmlns:a16="http://schemas.microsoft.com/office/drawing/2014/main" id="{8771B72D-096A-45D6-B87F-89C33FF9F637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0078" name="BC$Y$321#BR38">
                  <a:extLst>
                    <a:ext uri="{FF2B5EF4-FFF2-40B4-BE49-F238E27FC236}">
                      <a16:creationId xmlns:a16="http://schemas.microsoft.com/office/drawing/2014/main" id="{A5E816C0-2D95-4754-80EA-2769D36507EA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0080" name="BC$Y$321#BR39">
                <a:extLst>
                  <a:ext uri="{FF2B5EF4-FFF2-40B4-BE49-F238E27FC236}">
                    <a16:creationId xmlns:a16="http://schemas.microsoft.com/office/drawing/2014/main" id="{78D9ED03-B06C-45BC-B5C6-891F85F8A63E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0082" name="BC$Y$321#BR40">
              <a:extLst>
                <a:ext uri="{FF2B5EF4-FFF2-40B4-BE49-F238E27FC236}">
                  <a16:creationId xmlns:a16="http://schemas.microsoft.com/office/drawing/2014/main" id="{67E6DA14-D919-4B7B-B4AC-6BFA3209A3BC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0084" name="BC$Y$321#BR41">
            <a:extLst>
              <a:ext uri="{FF2B5EF4-FFF2-40B4-BE49-F238E27FC236}">
                <a16:creationId xmlns:a16="http://schemas.microsoft.com/office/drawing/2014/main" id="{AAA65495-1D2B-4D17-8FB6-873F70E3B50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76200</xdr:colOff>
      <xdr:row>337</xdr:row>
      <xdr:rowOff>180975</xdr:rowOff>
    </xdr:from>
    <xdr:to>
      <xdr:col>13</xdr:col>
      <xdr:colOff>238125</xdr:colOff>
      <xdr:row>339</xdr:row>
      <xdr:rowOff>180975</xdr:rowOff>
    </xdr:to>
    <xdr:grpSp>
      <xdr:nvGrpSpPr>
        <xdr:cNvPr id="10926" name="BC$K$332#GR">
          <a:extLst>
            <a:ext uri="{FF2B5EF4-FFF2-40B4-BE49-F238E27FC236}">
              <a16:creationId xmlns:a16="http://schemas.microsoft.com/office/drawing/2014/main" id="{2B19620C-429A-445F-A5DB-C07CD32333D4}"/>
            </a:ext>
          </a:extLst>
        </xdr:cNvPr>
        <xdr:cNvGrpSpPr/>
      </xdr:nvGrpSpPr>
      <xdr:grpSpPr>
        <a:xfrm>
          <a:off x="2705100" y="64284225"/>
          <a:ext cx="381000" cy="381000"/>
          <a:chOff x="0" y="0"/>
          <a:chExt cx="381000" cy="381000"/>
        </a:xfrm>
      </xdr:grpSpPr>
      <xdr:grpSp>
        <xdr:nvGrpSpPr>
          <xdr:cNvPr id="10924" name="BC$K$332#GR">
            <a:extLst>
              <a:ext uri="{FF2B5EF4-FFF2-40B4-BE49-F238E27FC236}">
                <a16:creationId xmlns:a16="http://schemas.microsoft.com/office/drawing/2014/main" id="{9E85F5AD-6399-4EAD-9F32-AE315126645C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0922" name="BC$K$332#GR">
              <a:extLst>
                <a:ext uri="{FF2B5EF4-FFF2-40B4-BE49-F238E27FC236}">
                  <a16:creationId xmlns:a16="http://schemas.microsoft.com/office/drawing/2014/main" id="{84A28860-56A6-4B4A-8A74-27F5EBE6823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0920" name="BC$K$332#GR">
                <a:extLst>
                  <a:ext uri="{FF2B5EF4-FFF2-40B4-BE49-F238E27FC236}">
                    <a16:creationId xmlns:a16="http://schemas.microsoft.com/office/drawing/2014/main" id="{06D6C50C-A693-499B-AA6C-576B21B0302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0918" name="BC$K$332#GR">
                  <a:extLst>
                    <a:ext uri="{FF2B5EF4-FFF2-40B4-BE49-F238E27FC236}">
                      <a16:creationId xmlns:a16="http://schemas.microsoft.com/office/drawing/2014/main" id="{24AECA4D-3E03-4C88-BE2E-DF25F1B8B32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0916" name="BC$K$332#GR">
                    <a:extLst>
                      <a:ext uri="{FF2B5EF4-FFF2-40B4-BE49-F238E27FC236}">
                        <a16:creationId xmlns:a16="http://schemas.microsoft.com/office/drawing/2014/main" id="{77DA2538-4396-4DD8-9E0D-443B78E46D7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0914" name="BC$K$332#GR">
                      <a:extLst>
                        <a:ext uri="{FF2B5EF4-FFF2-40B4-BE49-F238E27FC236}">
                          <a16:creationId xmlns:a16="http://schemas.microsoft.com/office/drawing/2014/main" id="{30A40080-5191-416B-A15C-89C94034FB22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0912" name="BC$K$332#GR">
                        <a:extLst>
                          <a:ext uri="{FF2B5EF4-FFF2-40B4-BE49-F238E27FC236}">
                            <a16:creationId xmlns:a16="http://schemas.microsoft.com/office/drawing/2014/main" id="{F95166EB-D7E1-4B21-9B3F-1C46AB1E2D3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0910" name="BC$K$332#GR">
                          <a:extLst>
                            <a:ext uri="{FF2B5EF4-FFF2-40B4-BE49-F238E27FC236}">
                              <a16:creationId xmlns:a16="http://schemas.microsoft.com/office/drawing/2014/main" id="{9C57B1A3-D8AC-4744-BD2A-07BBE932EA4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0908" name="BC$K$332#GR">
                            <a:extLst>
                              <a:ext uri="{FF2B5EF4-FFF2-40B4-BE49-F238E27FC236}">
                                <a16:creationId xmlns:a16="http://schemas.microsoft.com/office/drawing/2014/main" id="{24B618CD-F95F-440E-B9FC-EEC4BD17CF7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0906" name="BC$K$332#GR">
                              <a:extLst>
                                <a:ext uri="{FF2B5EF4-FFF2-40B4-BE49-F238E27FC236}">
                                  <a16:creationId xmlns:a16="http://schemas.microsoft.com/office/drawing/2014/main" id="{0605C8A1-87AE-45FA-BFFF-046AF4F68CB7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0904" name="BC$K$332#GR">
                                <a:extLst>
                                  <a:ext uri="{FF2B5EF4-FFF2-40B4-BE49-F238E27FC236}">
                                    <a16:creationId xmlns:a16="http://schemas.microsoft.com/office/drawing/2014/main" id="{66D185E3-58D9-48D6-90D6-7B8C17F5801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0902" name="BC$K$332#GR">
                                  <a:extLst>
                                    <a:ext uri="{FF2B5EF4-FFF2-40B4-BE49-F238E27FC236}">
                                      <a16:creationId xmlns:a16="http://schemas.microsoft.com/office/drawing/2014/main" id="{3354DA5E-78FB-4B9A-9FDF-79449B1CB6BC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0900" name="BC$K$332#GR">
                                    <a:extLst>
                                      <a:ext uri="{FF2B5EF4-FFF2-40B4-BE49-F238E27FC236}">
                                        <a16:creationId xmlns:a16="http://schemas.microsoft.com/office/drawing/2014/main" id="{512415A4-5EAD-428F-89B6-D73B343F82C1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0898" name="BC$K$332#GR">
                                      <a:extLst>
                                        <a:ext uri="{FF2B5EF4-FFF2-40B4-BE49-F238E27FC236}">
                                          <a16:creationId xmlns:a16="http://schemas.microsoft.com/office/drawing/2014/main" id="{A8136F26-CE0D-425C-AA3A-6D8E333F6ACF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0896" name="BC$K$33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3A42884-A448-4556-A402-1D4D9CA0F87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0894" name="BC$K$33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3478F89-F5AB-43CC-9F46-BD11D1085637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0892" name="BC$K$33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780BFA2-33BD-4293-BF5F-615149F74AE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0890" name="BC$K$33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D7A9DD9-4CC8-4357-B637-282D72F8861E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0888" name="BC$K$33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570BB6F-ED3A-4804-A547-1C3FED07953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0886" name="BC$K$33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A5EA355-F9BB-458D-9DDE-600C548170CA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0884" name="BC$K$33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44310F9-D75F-488C-95EF-A122F46D8F4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0882" name="BC$K$33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3536BFE-E7C0-4BCE-8325-2C7B8846DB3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0880" name="BC$K$33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83BB5E0-4CEB-4C0A-AE38-EE61B1520E7D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0878" name="BC$K$33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47F54FF-B405-47EA-B442-0518159C0DA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0876" name="BC$K$33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C037C54-8655-4091-AAEC-ED709AF1D42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0874" name="BC$K$33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17FA87F-4F00-4649-8BAD-64B1DF0F915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0872" name="BC$K$33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F73194D-269B-4A5E-8CAF-C2CDC68E1C5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0870" name="BC$K$33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F58A9DB-28E5-4B9C-88C2-25C88C85F15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0868" name="BC$K$33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E13D187-DDF8-4CBF-96CB-195BD73447E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0866" name="BC$K$33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34EF9AC-37F9-4636-96D4-82FBDF3F86A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0864" name="BC$K$33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08217AB-0F14-48C4-BF4E-29EFCE5FFD2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0862" name="BC$K$33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4F10C1A-71D8-4712-A6F5-CE901BB08B5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0860" name="BC$K$33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0244883-DFDF-4F06-9C8C-F651861F6A1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0858" name="BC$K$33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FC98948-E236-43A5-B292-DE9DBD2D467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0856" name="BC$K$33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5E1AAEC-21BC-4DB7-8D2F-991690B1EC6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0854" name="BC$K$33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71C3E4F-81F9-493A-AD8F-7D3D3FAC18C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0852" name="BC$K$33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BE54F97-5C80-4E7E-9EBC-FA76CD8D1BD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0850" name="BC$K$33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9B85E0D-7B4E-4EDF-AF25-205E0A2F037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0848" name="BC$K$33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E0EB4BC3-8C73-40B9-8A88-2D170C7B67C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0849" name="BC$K$33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C5781F23-8379-47F8-8EC8-6394D1D6002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0851" name="BC$K$33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BB85479-788C-44B1-A87B-C54D8E0437AA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0853" name="BC$K$33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2951737-3F68-45BF-8895-58F3A8404E2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0855" name="BC$K$33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A13AA3B-6022-414E-B2AC-215F457480B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0857" name="BC$K$33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C7701DF-A8AA-4D93-849A-EE1C3A47046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0859" name="BC$K$33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8539603-4989-4612-993D-E64F6FA419A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0861" name="BC$K$33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B40BFD0-24A2-46DE-BDBB-5BABE53D10E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9525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0863" name="BC$K$33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146E4C6-42B7-4853-A02F-C69157111F3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0865" name="BC$K$33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9C0C49F-A8E2-4826-82F8-A668FC3F482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222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0867" name="BC$K$33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32A4F69-D351-4386-AA50-942DFBA5E9B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63500" cy="635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0869" name="BC$K$33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C92B366-975D-4F31-9981-9A90FE72F97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0871" name="BC$K$33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20762D4-53D5-45E0-8AF4-367604A9A16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" y="1270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0873" name="BC$K$33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585A6BA-E99E-4AE7-BE92-332195689AD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95250" y="12700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0875" name="BC$K$33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E3B43E4-8396-49CA-8AF6-4C2B8EB9CFE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0877" name="BC$K$33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BE5E472-293D-4FF4-8799-89FE8D993C6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58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0879" name="BC$K$33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3A00B33-7E68-49D6-81AB-9B348362FB0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905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0881" name="BC$K$33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281CCB8-D536-4ADB-8C45-93021310FC4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58750"/>
                                                        <a:ext cx="6350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0883" name="BC$K$33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CD6DF0E-4C70-4F7A-9035-57058DCC3ADB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5400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0885" name="BC$K$33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102DCF9-51DF-4960-BD89-36724F150225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85750" y="1587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0887" name="BC$K$33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162112E-F2AC-4542-A5A3-924B61E97632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0889" name="BC$K$33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27E33FB-7EF9-43D7-903C-527B3E6B605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0891" name="BC$K$33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DB0BDB9-BC28-4AFD-8499-E0F2473EA956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63500" y="190500"/>
                                              <a:ext cx="6350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0893" name="BC$K$33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8F981A-C935-409F-BF66-3F418C617329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19050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0895" name="BC$K$33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974DA5F-96F9-442A-B61E-FE52362C97DB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58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0897" name="BC$K$33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194FA67-BAC8-456D-BD76-AB92EB735C6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90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0899" name="BC$K$33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1DD9C33A-2B2E-4FBB-90F7-4845CF2A193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0901" name="BC$K$332#BR27">
                                    <a:extLst>
                                      <a:ext uri="{FF2B5EF4-FFF2-40B4-BE49-F238E27FC236}">
                                        <a16:creationId xmlns:a16="http://schemas.microsoft.com/office/drawing/2014/main" id="{8A31CEC6-AE44-4237-AA05-ABC5E45581F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0903" name="BC$K$332#BR28">
                                  <a:extLst>
                                    <a:ext uri="{FF2B5EF4-FFF2-40B4-BE49-F238E27FC236}">
                                      <a16:creationId xmlns:a16="http://schemas.microsoft.com/office/drawing/2014/main" id="{F7560BEE-EA7A-4C96-A602-49BC924ACF8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0905" name="BC$K$332#BR29">
                                <a:extLst>
                                  <a:ext uri="{FF2B5EF4-FFF2-40B4-BE49-F238E27FC236}">
                                    <a16:creationId xmlns:a16="http://schemas.microsoft.com/office/drawing/2014/main" id="{3B75617C-9EBC-45FC-8AD2-3F56B46D9C9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95250" y="2857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0907" name="BC$K$332#BR30">
                              <a:extLst>
                                <a:ext uri="{FF2B5EF4-FFF2-40B4-BE49-F238E27FC236}">
                                  <a16:creationId xmlns:a16="http://schemas.microsoft.com/office/drawing/2014/main" id="{50845F12-480B-471D-9762-EAB371BD4C3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0909" name="BC$K$332#BR31">
                            <a:extLst>
                              <a:ext uri="{FF2B5EF4-FFF2-40B4-BE49-F238E27FC236}">
                                <a16:creationId xmlns:a16="http://schemas.microsoft.com/office/drawing/2014/main" id="{3A185D7D-77C4-4381-A988-0D9B8298AA9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54000"/>
                            <a:ext cx="31750" cy="6350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0911" name="BC$K$332#BR32">
                          <a:extLst>
                            <a:ext uri="{FF2B5EF4-FFF2-40B4-BE49-F238E27FC236}">
                              <a16:creationId xmlns:a16="http://schemas.microsoft.com/office/drawing/2014/main" id="{7FD8A06D-5CC8-44F4-864E-0FBCE1F9D1A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0913" name="BC$K$332#BR33">
                        <a:extLst>
                          <a:ext uri="{FF2B5EF4-FFF2-40B4-BE49-F238E27FC236}">
                            <a16:creationId xmlns:a16="http://schemas.microsoft.com/office/drawing/2014/main" id="{D526199C-7822-4FEF-9FCB-D4CA4254ADD6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0915" name="BC$K$332#BR34">
                      <a:extLst>
                        <a:ext uri="{FF2B5EF4-FFF2-40B4-BE49-F238E27FC236}">
                          <a16:creationId xmlns:a16="http://schemas.microsoft.com/office/drawing/2014/main" id="{49DCB293-2515-4A38-AA56-34FE4C5FDE66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0917" name="BC$K$332#BR35">
                    <a:extLst>
                      <a:ext uri="{FF2B5EF4-FFF2-40B4-BE49-F238E27FC236}">
                        <a16:creationId xmlns:a16="http://schemas.microsoft.com/office/drawing/2014/main" id="{308C5902-6706-47F2-BFF7-CA11E48A9FE3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0919" name="BC$K$332#BR36">
                  <a:extLst>
                    <a:ext uri="{FF2B5EF4-FFF2-40B4-BE49-F238E27FC236}">
                      <a16:creationId xmlns:a16="http://schemas.microsoft.com/office/drawing/2014/main" id="{1A302ACA-6B8B-4089-B717-DB3EBE45F22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0921" name="BC$K$332#BR37">
                <a:extLst>
                  <a:ext uri="{FF2B5EF4-FFF2-40B4-BE49-F238E27FC236}">
                    <a16:creationId xmlns:a16="http://schemas.microsoft.com/office/drawing/2014/main" id="{76EA9504-C805-4720-B8BC-B8AD625EC7E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0923" name="BC$K$332#BR38">
              <a:extLst>
                <a:ext uri="{FF2B5EF4-FFF2-40B4-BE49-F238E27FC236}">
                  <a16:creationId xmlns:a16="http://schemas.microsoft.com/office/drawing/2014/main" id="{9880799A-5DE5-4DED-AEDE-F5245F6C53D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0925" name="BC$K$332#BR39">
            <a:extLst>
              <a:ext uri="{FF2B5EF4-FFF2-40B4-BE49-F238E27FC236}">
                <a16:creationId xmlns:a16="http://schemas.microsoft.com/office/drawing/2014/main" id="{2DEE040F-B804-4E93-AFE2-35B39D8A6FA1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57150</xdr:colOff>
      <xdr:row>338</xdr:row>
      <xdr:rowOff>0</xdr:rowOff>
    </xdr:from>
    <xdr:to>
      <xdr:col>27</xdr:col>
      <xdr:colOff>219075</xdr:colOff>
      <xdr:row>340</xdr:row>
      <xdr:rowOff>0</xdr:rowOff>
    </xdr:to>
    <xdr:grpSp>
      <xdr:nvGrpSpPr>
        <xdr:cNvPr id="11005" name="BC$Y$332#GR">
          <a:extLst>
            <a:ext uri="{FF2B5EF4-FFF2-40B4-BE49-F238E27FC236}">
              <a16:creationId xmlns:a16="http://schemas.microsoft.com/office/drawing/2014/main" id="{E9B87BB1-E763-486D-A0F5-4CD8B484EBF0}"/>
            </a:ext>
          </a:extLst>
        </xdr:cNvPr>
        <xdr:cNvGrpSpPr/>
      </xdr:nvGrpSpPr>
      <xdr:grpSpPr>
        <a:xfrm>
          <a:off x="5800725" y="64293750"/>
          <a:ext cx="381000" cy="381000"/>
          <a:chOff x="0" y="0"/>
          <a:chExt cx="381000" cy="381000"/>
        </a:xfrm>
      </xdr:grpSpPr>
      <xdr:grpSp>
        <xdr:nvGrpSpPr>
          <xdr:cNvPr id="11003" name="BC$Y$332#GR">
            <a:extLst>
              <a:ext uri="{FF2B5EF4-FFF2-40B4-BE49-F238E27FC236}">
                <a16:creationId xmlns:a16="http://schemas.microsoft.com/office/drawing/2014/main" id="{ACCECA4C-8791-4D05-85C4-9FE21923B47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001" name="BC$Y$332#GR">
              <a:extLst>
                <a:ext uri="{FF2B5EF4-FFF2-40B4-BE49-F238E27FC236}">
                  <a16:creationId xmlns:a16="http://schemas.microsoft.com/office/drawing/2014/main" id="{310C2FEA-27BF-4D5C-8B65-C8B34EEC7A5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0999" name="BC$Y$332#GR">
                <a:extLst>
                  <a:ext uri="{FF2B5EF4-FFF2-40B4-BE49-F238E27FC236}">
                    <a16:creationId xmlns:a16="http://schemas.microsoft.com/office/drawing/2014/main" id="{89281F21-C26A-4A28-8646-342BFD2642A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0997" name="BC$Y$332#GR">
                  <a:extLst>
                    <a:ext uri="{FF2B5EF4-FFF2-40B4-BE49-F238E27FC236}">
                      <a16:creationId xmlns:a16="http://schemas.microsoft.com/office/drawing/2014/main" id="{94CDD0D4-1677-48C0-8376-60846C209AF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0995" name="BC$Y$332#GR">
                    <a:extLst>
                      <a:ext uri="{FF2B5EF4-FFF2-40B4-BE49-F238E27FC236}">
                        <a16:creationId xmlns:a16="http://schemas.microsoft.com/office/drawing/2014/main" id="{8600012C-F900-40D6-95E2-5A1A2F571D23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0993" name="BC$Y$332#GR">
                      <a:extLst>
                        <a:ext uri="{FF2B5EF4-FFF2-40B4-BE49-F238E27FC236}">
                          <a16:creationId xmlns:a16="http://schemas.microsoft.com/office/drawing/2014/main" id="{C3F748A7-1F76-47BC-B26A-BDED7AFCBB6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0991" name="BC$Y$332#GR">
                        <a:extLst>
                          <a:ext uri="{FF2B5EF4-FFF2-40B4-BE49-F238E27FC236}">
                            <a16:creationId xmlns:a16="http://schemas.microsoft.com/office/drawing/2014/main" id="{E79F8671-CA81-4B1F-9402-647F8780EED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0989" name="BC$Y$332#GR">
                          <a:extLst>
                            <a:ext uri="{FF2B5EF4-FFF2-40B4-BE49-F238E27FC236}">
                              <a16:creationId xmlns:a16="http://schemas.microsoft.com/office/drawing/2014/main" id="{22965040-FD4F-4F7B-8202-5878945CA46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0987" name="BC$Y$332#GR">
                            <a:extLst>
                              <a:ext uri="{FF2B5EF4-FFF2-40B4-BE49-F238E27FC236}">
                                <a16:creationId xmlns:a16="http://schemas.microsoft.com/office/drawing/2014/main" id="{EF85F7AC-ADF5-4599-A6F9-A20CB03437FF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0985" name="BC$Y$332#GR">
                              <a:extLst>
                                <a:ext uri="{FF2B5EF4-FFF2-40B4-BE49-F238E27FC236}">
                                  <a16:creationId xmlns:a16="http://schemas.microsoft.com/office/drawing/2014/main" id="{A3824E26-2307-453C-AC95-3747EAE507B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0983" name="BC$Y$332#GR">
                                <a:extLst>
                                  <a:ext uri="{FF2B5EF4-FFF2-40B4-BE49-F238E27FC236}">
                                    <a16:creationId xmlns:a16="http://schemas.microsoft.com/office/drawing/2014/main" id="{45E4D7AD-BB06-4D5A-AB7E-4C80D592E6B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0981" name="BC$Y$332#GR">
                                  <a:extLst>
                                    <a:ext uri="{FF2B5EF4-FFF2-40B4-BE49-F238E27FC236}">
                                      <a16:creationId xmlns:a16="http://schemas.microsoft.com/office/drawing/2014/main" id="{127211D3-39FD-41EF-9C32-88FFF98A57AD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0979" name="BC$Y$332#GR">
                                    <a:extLst>
                                      <a:ext uri="{FF2B5EF4-FFF2-40B4-BE49-F238E27FC236}">
                                        <a16:creationId xmlns:a16="http://schemas.microsoft.com/office/drawing/2014/main" id="{D8C18F91-4CA7-4FAB-BDC5-386B415AC64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0977" name="BC$Y$332#GR">
                                      <a:extLst>
                                        <a:ext uri="{FF2B5EF4-FFF2-40B4-BE49-F238E27FC236}">
                                          <a16:creationId xmlns:a16="http://schemas.microsoft.com/office/drawing/2014/main" id="{021A3DFA-9D68-47A3-BD31-A18CAF31BA1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0975" name="BC$Y$33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60C4CAE-65D3-43CC-8C10-E203C2C5AB85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0973" name="BC$Y$33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7DDDD21-B0EC-4D9D-9465-B32CFD0A544F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0971" name="BC$Y$33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F1E76F0-C709-447A-BEB3-BA1BE70B98CA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0969" name="BC$Y$33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CD451FE-766F-429E-90E0-B191CAE20B4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0967" name="BC$Y$33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59896DA-84B9-4E89-AE3B-A9ED9E55F871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0965" name="BC$Y$33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9285441-5F58-4CB1-961E-6A4CBB4E624D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0963" name="BC$Y$33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E218BCF-E17F-47CB-85B0-74BB7D250D32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0961" name="BC$Y$33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DF5AEFC-8BA5-4D9B-8FBE-657F68C6B754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0959" name="BC$Y$33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92AD303-D6F2-4F24-B75B-895F8ADC4F7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0957" name="BC$Y$33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F1F7449-223F-47E1-8FF4-17EF3DA039D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0955" name="BC$Y$33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93B6FE3-9A50-441D-8F76-A4E01876E2C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0953" name="BC$Y$33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B49C055-8676-43DB-BE4A-2694E595DA3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0951" name="BC$Y$33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09FA506-5D01-4A0B-9E28-6C395DCCF32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0949" name="BC$Y$33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CDF9EBD-3831-44BA-9C1F-FD4F52E5472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0947" name="BC$Y$33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8B946C9E-D7A0-40B2-B07D-D199FF12B99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0945" name="BC$Y$33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BC8B469-6530-47CB-93A2-3A1423D84B7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0943" name="BC$Y$33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6471FB9-E8AF-4E3E-85C4-2D3DCA8FD78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0941" name="BC$Y$33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B4F9DA8-1466-4977-8AF8-85F42DC2780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0939" name="BC$Y$33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AD13AF0-3930-49AF-AF0C-995534A4176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0937" name="BC$Y$33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C22BA10-892D-4F32-AEA4-D60F7E29543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0935" name="BC$Y$33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4801C0B-1991-42F1-9B8A-7DEC55E7AB8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0933" name="BC$Y$33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D34E7DA-13E2-4592-A77E-A713B41BAA1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0931" name="BC$Y$33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166EFEE-7C1D-4088-B0D4-37016E93C66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0929" name="BC$Y$33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82B3CE4D-AD1F-4AE5-AC80-000B0638F046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0927" name="BC$Y$33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87E2A1D8-30DF-40CD-8FAB-7FE795E13E2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0928" name="BC$Y$33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8B2A64B1-9C1B-4004-9DFC-809C2EC32FE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0930" name="BC$Y$33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D956A80-7B57-4BE7-AECE-9C19CA95874A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0932" name="BC$Y$33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EC29B7D-A5C8-4B31-9F9F-61F3F43DE7D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0934" name="BC$Y$33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583F51F-F141-4D7D-9561-A1F4804223E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0936" name="BC$Y$33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9F74140-857E-4AA8-8120-204B0A3A9AD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0938" name="BC$Y$33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B01911D-BD2D-4642-BE1D-4BA3770627C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0940" name="BC$Y$33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0F40C01-E6E3-478F-AA06-47006BE8FF0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0942" name="BC$Y$33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0A6D4C3-DBA1-4B2E-9507-D3E86ECC321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0944" name="BC$Y$33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89A80A3-1478-4945-A07A-022306D4233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0946" name="BC$Y$33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233E241-5165-4A7A-9F7E-6EB30927DDB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0948" name="BC$Y$33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E74B165-94C7-4CB5-A417-3C53F3CDD74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0950" name="BC$Y$33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C8694B9-6C62-41E4-9597-BA8920802F6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0952" name="BC$Y$33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14671A9-B95B-49DB-80F1-98BAE4D2FA6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0954" name="BC$Y$33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E82B361-F638-4AF3-976A-DA7D28EA752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0956" name="BC$Y$33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D30C015-CA0E-435B-AFB0-8ACCDB471C0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0958" name="BC$Y$33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007B1F1-2DD1-4267-BDEA-25609080BA1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0960" name="BC$Y$33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8523464-E751-4314-8973-3457E639A8E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0962" name="BC$Y$33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C4ECA97-E965-4D46-B95D-A0A5545085D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0964" name="BC$Y$33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8FBADFF-88F5-403C-9460-6D49457222FF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0966" name="BC$Y$33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97B6AAE-100F-4E2E-AA7A-2FD2B0F61CB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0968" name="BC$Y$33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FE5E974-04F2-4947-844F-34BF6D3B8E2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0970" name="BC$Y$33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0EE1F97-F333-4703-A6C0-9A5D6A2A1347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0972" name="BC$Y$33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976184C-4F19-4778-9DFB-A461034559D9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0974" name="BC$Y$33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9BAFAA1-9583-45DC-AFFB-D0045CFFD0C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0976" name="BC$Y$33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2C42970-976F-44F1-ACEB-F9AC94E7A4DE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0978" name="BC$Y$33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47E6AF4A-FEC0-44A1-A89E-8447B1B2C73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0980" name="BC$Y$332#BR27">
                                    <a:extLst>
                                      <a:ext uri="{FF2B5EF4-FFF2-40B4-BE49-F238E27FC236}">
                                        <a16:creationId xmlns:a16="http://schemas.microsoft.com/office/drawing/2014/main" id="{153BFB36-F7C7-4251-BA96-35639B15157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0982" name="BC$Y$332#BR28">
                                  <a:extLst>
                                    <a:ext uri="{FF2B5EF4-FFF2-40B4-BE49-F238E27FC236}">
                                      <a16:creationId xmlns:a16="http://schemas.microsoft.com/office/drawing/2014/main" id="{5B83453C-6EFE-4DB6-BB30-05CC57D5151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0984" name="BC$Y$332#BR29">
                                <a:extLst>
                                  <a:ext uri="{FF2B5EF4-FFF2-40B4-BE49-F238E27FC236}">
                                    <a16:creationId xmlns:a16="http://schemas.microsoft.com/office/drawing/2014/main" id="{CB261657-2BA1-42DC-BF8A-65C48DAE988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0986" name="BC$Y$332#BR30">
                              <a:extLst>
                                <a:ext uri="{FF2B5EF4-FFF2-40B4-BE49-F238E27FC236}">
                                  <a16:creationId xmlns:a16="http://schemas.microsoft.com/office/drawing/2014/main" id="{24535ADD-E0D1-4922-BD80-DECA7A6F5FE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0988" name="BC$Y$332#BR31">
                            <a:extLst>
                              <a:ext uri="{FF2B5EF4-FFF2-40B4-BE49-F238E27FC236}">
                                <a16:creationId xmlns:a16="http://schemas.microsoft.com/office/drawing/2014/main" id="{60A64E31-978D-455B-B23E-AE39A10739BB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0990" name="BC$Y$332#BR32">
                          <a:extLst>
                            <a:ext uri="{FF2B5EF4-FFF2-40B4-BE49-F238E27FC236}">
                              <a16:creationId xmlns:a16="http://schemas.microsoft.com/office/drawing/2014/main" id="{EB62EE83-D37D-4BC0-8CA7-540F31E9D25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0992" name="BC$Y$332#BR33">
                        <a:extLst>
                          <a:ext uri="{FF2B5EF4-FFF2-40B4-BE49-F238E27FC236}">
                            <a16:creationId xmlns:a16="http://schemas.microsoft.com/office/drawing/2014/main" id="{7F620338-4488-4560-B9E7-FC96B32EB9D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0994" name="BC$Y$332#BR34">
                      <a:extLst>
                        <a:ext uri="{FF2B5EF4-FFF2-40B4-BE49-F238E27FC236}">
                          <a16:creationId xmlns:a16="http://schemas.microsoft.com/office/drawing/2014/main" id="{D6C21B27-DCA5-49FA-A4A3-380747914E2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0996" name="BC$Y$332#BR35">
                    <a:extLst>
                      <a:ext uri="{FF2B5EF4-FFF2-40B4-BE49-F238E27FC236}">
                        <a16:creationId xmlns:a16="http://schemas.microsoft.com/office/drawing/2014/main" id="{29626782-93F7-44A6-8505-AD679ACC4B7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0998" name="BC$Y$332#BR36">
                  <a:extLst>
                    <a:ext uri="{FF2B5EF4-FFF2-40B4-BE49-F238E27FC236}">
                      <a16:creationId xmlns:a16="http://schemas.microsoft.com/office/drawing/2014/main" id="{2C692FC8-C601-44E7-9DBE-63472EBDEAE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000" name="BC$Y$332#BR37">
                <a:extLst>
                  <a:ext uri="{FF2B5EF4-FFF2-40B4-BE49-F238E27FC236}">
                    <a16:creationId xmlns:a16="http://schemas.microsoft.com/office/drawing/2014/main" id="{F10BA6D0-4948-49DB-8456-63F3A137E9E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002" name="BC$Y$332#BR38">
              <a:extLst>
                <a:ext uri="{FF2B5EF4-FFF2-40B4-BE49-F238E27FC236}">
                  <a16:creationId xmlns:a16="http://schemas.microsoft.com/office/drawing/2014/main" id="{08FED370-DFC4-418B-8B79-28713A15BBB9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004" name="BC$Y$332#BR39">
            <a:extLst>
              <a:ext uri="{FF2B5EF4-FFF2-40B4-BE49-F238E27FC236}">
                <a16:creationId xmlns:a16="http://schemas.microsoft.com/office/drawing/2014/main" id="{BF3D3ED8-C122-4EC7-B87B-E924462A6403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349</xdr:row>
      <xdr:rowOff>9525</xdr:rowOff>
    </xdr:from>
    <xdr:to>
      <xdr:col>13</xdr:col>
      <xdr:colOff>200025</xdr:colOff>
      <xdr:row>351</xdr:row>
      <xdr:rowOff>9525</xdr:rowOff>
    </xdr:to>
    <xdr:grpSp>
      <xdr:nvGrpSpPr>
        <xdr:cNvPr id="11084" name="BC$K$343#GR">
          <a:extLst>
            <a:ext uri="{FF2B5EF4-FFF2-40B4-BE49-F238E27FC236}">
              <a16:creationId xmlns:a16="http://schemas.microsoft.com/office/drawing/2014/main" id="{A814247E-B8D2-4957-BF1B-2D0BF0C65BBE}"/>
            </a:ext>
          </a:extLst>
        </xdr:cNvPr>
        <xdr:cNvGrpSpPr/>
      </xdr:nvGrpSpPr>
      <xdr:grpSpPr>
        <a:xfrm>
          <a:off x="2667000" y="66398775"/>
          <a:ext cx="381000" cy="381000"/>
          <a:chOff x="0" y="0"/>
          <a:chExt cx="381000" cy="381000"/>
        </a:xfrm>
      </xdr:grpSpPr>
      <xdr:grpSp>
        <xdr:nvGrpSpPr>
          <xdr:cNvPr id="11082" name="BC$K$343#GR">
            <a:extLst>
              <a:ext uri="{FF2B5EF4-FFF2-40B4-BE49-F238E27FC236}">
                <a16:creationId xmlns:a16="http://schemas.microsoft.com/office/drawing/2014/main" id="{CD0D56D8-D1D3-440D-B23F-9A82E246C39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080" name="BC$K$343#GR">
              <a:extLst>
                <a:ext uri="{FF2B5EF4-FFF2-40B4-BE49-F238E27FC236}">
                  <a16:creationId xmlns:a16="http://schemas.microsoft.com/office/drawing/2014/main" id="{8E0F6586-1442-42CE-A3C6-1183559787BA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078" name="BC$K$343#GR">
                <a:extLst>
                  <a:ext uri="{FF2B5EF4-FFF2-40B4-BE49-F238E27FC236}">
                    <a16:creationId xmlns:a16="http://schemas.microsoft.com/office/drawing/2014/main" id="{F659DEB1-D098-48E6-8589-691E397F624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076" name="BC$K$343#GR">
                  <a:extLst>
                    <a:ext uri="{FF2B5EF4-FFF2-40B4-BE49-F238E27FC236}">
                      <a16:creationId xmlns:a16="http://schemas.microsoft.com/office/drawing/2014/main" id="{C27DED79-3794-441C-A107-75D8FB384C54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074" name="BC$K$343#GR">
                    <a:extLst>
                      <a:ext uri="{FF2B5EF4-FFF2-40B4-BE49-F238E27FC236}">
                        <a16:creationId xmlns:a16="http://schemas.microsoft.com/office/drawing/2014/main" id="{ABCBC20C-9963-457D-9C16-A887E507FA76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072" name="BC$K$343#GR">
                      <a:extLst>
                        <a:ext uri="{FF2B5EF4-FFF2-40B4-BE49-F238E27FC236}">
                          <a16:creationId xmlns:a16="http://schemas.microsoft.com/office/drawing/2014/main" id="{B30B67FD-5FDB-442C-9A12-390FFBB8959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070" name="BC$K$343#GR">
                        <a:extLst>
                          <a:ext uri="{FF2B5EF4-FFF2-40B4-BE49-F238E27FC236}">
                            <a16:creationId xmlns:a16="http://schemas.microsoft.com/office/drawing/2014/main" id="{DC044ABC-DD78-4728-A9BF-D19228B9D7B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068" name="BC$K$343#GR">
                          <a:extLst>
                            <a:ext uri="{FF2B5EF4-FFF2-40B4-BE49-F238E27FC236}">
                              <a16:creationId xmlns:a16="http://schemas.microsoft.com/office/drawing/2014/main" id="{C7083C5D-5408-4457-87E9-F8E25FCA651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066" name="BC$K$343#GR">
                            <a:extLst>
                              <a:ext uri="{FF2B5EF4-FFF2-40B4-BE49-F238E27FC236}">
                                <a16:creationId xmlns:a16="http://schemas.microsoft.com/office/drawing/2014/main" id="{53C168E9-2445-4880-9BDA-27AF213106D6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064" name="BC$K$343#GR">
                              <a:extLst>
                                <a:ext uri="{FF2B5EF4-FFF2-40B4-BE49-F238E27FC236}">
                                  <a16:creationId xmlns:a16="http://schemas.microsoft.com/office/drawing/2014/main" id="{ADB251A3-E36C-491B-A9A1-E8950DDA3297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062" name="BC$K$343#GR">
                                <a:extLst>
                                  <a:ext uri="{FF2B5EF4-FFF2-40B4-BE49-F238E27FC236}">
                                    <a16:creationId xmlns:a16="http://schemas.microsoft.com/office/drawing/2014/main" id="{1236963C-971D-47E0-9CAB-4CF9608AD3A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060" name="BC$K$343#GR">
                                  <a:extLst>
                                    <a:ext uri="{FF2B5EF4-FFF2-40B4-BE49-F238E27FC236}">
                                      <a16:creationId xmlns:a16="http://schemas.microsoft.com/office/drawing/2014/main" id="{CD35D4AF-706B-41B9-BA12-F41A40E8497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058" name="BC$K$343#GR">
                                    <a:extLst>
                                      <a:ext uri="{FF2B5EF4-FFF2-40B4-BE49-F238E27FC236}">
                                        <a16:creationId xmlns:a16="http://schemas.microsoft.com/office/drawing/2014/main" id="{C5BD6337-38B0-43A9-B637-F52223F6483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056" name="BC$K$343#GR">
                                      <a:extLst>
                                        <a:ext uri="{FF2B5EF4-FFF2-40B4-BE49-F238E27FC236}">
                                          <a16:creationId xmlns:a16="http://schemas.microsoft.com/office/drawing/2014/main" id="{289B36CC-B579-4E28-999E-4D9F11DC24E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054" name="BC$K$34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3063A6E-7E8F-41A1-AFDA-0B1E8718438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052" name="BC$K$34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72A4E3E-C77D-4FF5-B3DF-5B444314850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050" name="BC$K$34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330DBB6-E0A5-4ED1-84F7-635C1BEC2FA3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048" name="BC$K$34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057243D-4AA1-4CDA-AE51-F5A3367073E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046" name="BC$K$34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4CD86CB-AE5C-406E-97E2-CCDC71F5676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044" name="BC$K$34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FFBCA4F-416D-46CE-938A-34C5C76C93F1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042" name="BC$K$34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7CCCE14-D72A-431D-BDAE-E1851E009ED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040" name="BC$K$34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97766C6-7445-4FB7-85BC-17FC3A6EF40F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038" name="BC$K$34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7BEF14A-8DD4-4812-81B9-E02DDCE5C70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036" name="BC$K$34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CCD7F3E-5FD0-42CC-83AD-C3A438C67AA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034" name="BC$K$34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C9D9924-F0BF-41AF-B5F1-4257CD5F8BA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032" name="BC$K$34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A56D0A0-850C-4CA4-8E74-E958305B91A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030" name="BC$K$34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CA4E27C-5CB4-46A8-BA2B-E41ECD943B4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028" name="BC$K$34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E5D7D06-5EE1-4E50-8668-1CF8C80718A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026" name="BC$K$34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37A81F6-F764-4D5B-968C-8B91C06A106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024" name="BC$K$34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98FD654-D0E8-4E1F-AB20-AEA24A9FE60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022" name="BC$K$34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AADF80D-0CD1-409F-B22A-562DAD5035B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020" name="BC$K$34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812737F-400E-4BBC-9B46-D7213A2202D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018" name="BC$K$34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292F5BB-C2AE-42D6-A391-3D525365FA2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016" name="BC$K$34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49F7B91-29FA-4E23-A7C0-AAFB66574AD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014" name="BC$K$34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EB8D7E2-0834-4B92-B9BE-FA23935059C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012" name="BC$K$34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8FFCA60-889E-4964-B65D-2591549742E3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010" name="BC$K$343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8A7B9AA-1C55-4E2D-90EC-67C71890A42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008" name="BC$K$343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9BCBE969-8906-4BFB-A416-24B8FF7032CD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006" name="BC$K$343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1D4477B3-A9C1-4050-A44C-2520786A1AB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007" name="BC$K$343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30D723C-AEB8-449C-9CCD-E3A67D064FF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009" name="BC$K$343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1B323C97-EDB6-4790-9900-FB65DE90855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011" name="BC$K$343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D23CC36-517D-4CEC-80AC-D4A9F75664F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013" name="BC$K$343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454AF39-CAE9-4FD6-9BC6-F6086FA5FD1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015" name="BC$K$343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1FDCC06-DA26-4831-9932-F6598616186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017" name="BC$K$343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26E5234-7B05-4DFC-BAFF-0BC7009A616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019" name="BC$K$343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DE11BE2-25EB-4E38-AC29-F45A1FE634D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021" name="BC$K$343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90FA3B5-FC98-4E5E-A731-6B587A384A9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023" name="BC$K$343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0978D5A-EF6A-45E0-8C2F-1763831A5F3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025" name="BC$K$343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928CE01-590B-4AC9-91A1-1715CB46BB8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027" name="BC$K$343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26C5A97-E1C5-453C-AD08-04AA883F74E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029" name="BC$K$343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2FACBC8-120D-48DB-B340-B544436DBF2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031" name="BC$K$343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7534821-4DB1-4E78-B8CD-F6F0EE3436A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033" name="BC$K$343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F25E7D0-FE64-442E-9555-0E7A2D06CF2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035" name="BC$K$343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BDD9775-1488-4E00-9DDE-31B4DD048AE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037" name="BC$K$343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A8D39B9-7956-4279-BE50-3C0C359E307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039" name="BC$K$343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63FDBF5-0279-4DE8-9D0C-BF76403C005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041" name="BC$K$343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CB0E897-B4A9-4BA1-A295-D44DF7CED14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043" name="BC$K$343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1E6148E-9561-415A-9823-3B862A4F51A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045" name="BC$K$343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6E89172-1728-4478-AE12-913D998FED3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047" name="BC$K$343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926CB47-1E31-4EDD-A181-1F73543D67E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049" name="BC$K$343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5C92FF9-AE7F-4F12-9438-3BC29B47FF58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051" name="BC$K$343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D9E7019-B582-4153-8268-AC0B56CE6D1C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053" name="BC$K$343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AFA4584-8D0A-4615-8857-6750E617BA1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055" name="BC$K$343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70100CF-1C96-4A00-97BB-D5AF251F035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057" name="BC$K$343#BR26">
                                      <a:extLst>
                                        <a:ext uri="{FF2B5EF4-FFF2-40B4-BE49-F238E27FC236}">
                                          <a16:creationId xmlns:a16="http://schemas.microsoft.com/office/drawing/2014/main" id="{B7FCD152-2920-4407-94A2-A4E12E54FA1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059" name="BC$K$343#BR27">
                                    <a:extLst>
                                      <a:ext uri="{FF2B5EF4-FFF2-40B4-BE49-F238E27FC236}">
                                        <a16:creationId xmlns:a16="http://schemas.microsoft.com/office/drawing/2014/main" id="{76B6A07B-AF40-43F6-B7F5-A3842CE8DDA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061" name="BC$K$343#BR28">
                                  <a:extLst>
                                    <a:ext uri="{FF2B5EF4-FFF2-40B4-BE49-F238E27FC236}">
                                      <a16:creationId xmlns:a16="http://schemas.microsoft.com/office/drawing/2014/main" id="{2BB7A034-A3AF-4C88-BDD8-A6BEB93E1116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063" name="BC$K$343#BR29">
                                <a:extLst>
                                  <a:ext uri="{FF2B5EF4-FFF2-40B4-BE49-F238E27FC236}">
                                    <a16:creationId xmlns:a16="http://schemas.microsoft.com/office/drawing/2014/main" id="{86180910-1A08-48C9-9F6C-E3280A4DC5DF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065" name="BC$K$343#BR30">
                              <a:extLst>
                                <a:ext uri="{FF2B5EF4-FFF2-40B4-BE49-F238E27FC236}">
                                  <a16:creationId xmlns:a16="http://schemas.microsoft.com/office/drawing/2014/main" id="{5B6B0B6C-4ADC-40C6-90F7-F4165316725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067" name="BC$K$343#BR31">
                            <a:extLst>
                              <a:ext uri="{FF2B5EF4-FFF2-40B4-BE49-F238E27FC236}">
                                <a16:creationId xmlns:a16="http://schemas.microsoft.com/office/drawing/2014/main" id="{C35007C2-3884-4B1E-8FB9-B35C23F5E5A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069" name="BC$K$343#BR32">
                          <a:extLst>
                            <a:ext uri="{FF2B5EF4-FFF2-40B4-BE49-F238E27FC236}">
                              <a16:creationId xmlns:a16="http://schemas.microsoft.com/office/drawing/2014/main" id="{493E3968-7CDF-4231-83B9-2FA870DB7F7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071" name="BC$K$343#BR33">
                        <a:extLst>
                          <a:ext uri="{FF2B5EF4-FFF2-40B4-BE49-F238E27FC236}">
                            <a16:creationId xmlns:a16="http://schemas.microsoft.com/office/drawing/2014/main" id="{C4FCC7B4-B827-4FA5-A029-0481B169E99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073" name="BC$K$343#BR34">
                      <a:extLst>
                        <a:ext uri="{FF2B5EF4-FFF2-40B4-BE49-F238E27FC236}">
                          <a16:creationId xmlns:a16="http://schemas.microsoft.com/office/drawing/2014/main" id="{04D03557-E8E6-42AC-8B44-2C1095560FC8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075" name="BC$K$343#BR35">
                    <a:extLst>
                      <a:ext uri="{FF2B5EF4-FFF2-40B4-BE49-F238E27FC236}">
                        <a16:creationId xmlns:a16="http://schemas.microsoft.com/office/drawing/2014/main" id="{1E92DA62-FB80-4E40-A1B2-C7C6A26F0533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077" name="BC$K$343#BR36">
                  <a:extLst>
                    <a:ext uri="{FF2B5EF4-FFF2-40B4-BE49-F238E27FC236}">
                      <a16:creationId xmlns:a16="http://schemas.microsoft.com/office/drawing/2014/main" id="{B09C0D54-2252-490F-AC1A-B98AA5E30784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079" name="BC$K$343#BR37">
                <a:extLst>
                  <a:ext uri="{FF2B5EF4-FFF2-40B4-BE49-F238E27FC236}">
                    <a16:creationId xmlns:a16="http://schemas.microsoft.com/office/drawing/2014/main" id="{9A18F453-DC2F-4B66-8E3D-51368D769F6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081" name="BC$K$343#BR38">
              <a:extLst>
                <a:ext uri="{FF2B5EF4-FFF2-40B4-BE49-F238E27FC236}">
                  <a16:creationId xmlns:a16="http://schemas.microsoft.com/office/drawing/2014/main" id="{17C3F007-FA4D-47ED-81C3-CDBA9E3D26AC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083" name="BC$K$343#BR39">
            <a:extLst>
              <a:ext uri="{FF2B5EF4-FFF2-40B4-BE49-F238E27FC236}">
                <a16:creationId xmlns:a16="http://schemas.microsoft.com/office/drawing/2014/main" id="{F0604EA0-BB00-417D-BD76-CC0C597F8E1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19050</xdr:colOff>
      <xdr:row>349</xdr:row>
      <xdr:rowOff>9525</xdr:rowOff>
    </xdr:from>
    <xdr:to>
      <xdr:col>27</xdr:col>
      <xdr:colOff>180975</xdr:colOff>
      <xdr:row>351</xdr:row>
      <xdr:rowOff>9525</xdr:rowOff>
    </xdr:to>
    <xdr:grpSp>
      <xdr:nvGrpSpPr>
        <xdr:cNvPr id="11163" name="BC$Y$343#GR">
          <a:extLst>
            <a:ext uri="{FF2B5EF4-FFF2-40B4-BE49-F238E27FC236}">
              <a16:creationId xmlns:a16="http://schemas.microsoft.com/office/drawing/2014/main" id="{CA69C25A-ADBB-40F6-906B-5C9FD4C18559}"/>
            </a:ext>
          </a:extLst>
        </xdr:cNvPr>
        <xdr:cNvGrpSpPr/>
      </xdr:nvGrpSpPr>
      <xdr:grpSpPr>
        <a:xfrm>
          <a:off x="5762625" y="66398775"/>
          <a:ext cx="381000" cy="381000"/>
          <a:chOff x="0" y="0"/>
          <a:chExt cx="381000" cy="381000"/>
        </a:xfrm>
      </xdr:grpSpPr>
      <xdr:grpSp>
        <xdr:nvGrpSpPr>
          <xdr:cNvPr id="11161" name="BC$Y$343#GR">
            <a:extLst>
              <a:ext uri="{FF2B5EF4-FFF2-40B4-BE49-F238E27FC236}">
                <a16:creationId xmlns:a16="http://schemas.microsoft.com/office/drawing/2014/main" id="{34D81217-51EF-435E-B750-2576D689A096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159" name="BC$Y$343#GR">
              <a:extLst>
                <a:ext uri="{FF2B5EF4-FFF2-40B4-BE49-F238E27FC236}">
                  <a16:creationId xmlns:a16="http://schemas.microsoft.com/office/drawing/2014/main" id="{7574EAA5-C480-4A76-A8C0-1AF4784F0FE3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157" name="BC$Y$343#GR">
                <a:extLst>
                  <a:ext uri="{FF2B5EF4-FFF2-40B4-BE49-F238E27FC236}">
                    <a16:creationId xmlns:a16="http://schemas.microsoft.com/office/drawing/2014/main" id="{AC0459BE-4AFC-4B7E-8480-0530198B417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155" name="BC$Y$343#GR">
                  <a:extLst>
                    <a:ext uri="{FF2B5EF4-FFF2-40B4-BE49-F238E27FC236}">
                      <a16:creationId xmlns:a16="http://schemas.microsoft.com/office/drawing/2014/main" id="{10948C66-FEC7-4465-9F73-43632A2B618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153" name="BC$Y$343#GR">
                    <a:extLst>
                      <a:ext uri="{FF2B5EF4-FFF2-40B4-BE49-F238E27FC236}">
                        <a16:creationId xmlns:a16="http://schemas.microsoft.com/office/drawing/2014/main" id="{F7863F74-7BA4-4A79-8826-8E8F4FD1BBB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151" name="BC$Y$343#GR">
                      <a:extLst>
                        <a:ext uri="{FF2B5EF4-FFF2-40B4-BE49-F238E27FC236}">
                          <a16:creationId xmlns:a16="http://schemas.microsoft.com/office/drawing/2014/main" id="{37EBBA67-47CF-455E-9DFE-715A233C3C6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149" name="BC$Y$343#GR">
                        <a:extLst>
                          <a:ext uri="{FF2B5EF4-FFF2-40B4-BE49-F238E27FC236}">
                            <a16:creationId xmlns:a16="http://schemas.microsoft.com/office/drawing/2014/main" id="{06157ABD-C673-404B-942A-18CBD1A9301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147" name="BC$Y$343#GR">
                          <a:extLst>
                            <a:ext uri="{FF2B5EF4-FFF2-40B4-BE49-F238E27FC236}">
                              <a16:creationId xmlns:a16="http://schemas.microsoft.com/office/drawing/2014/main" id="{A61296C7-F23B-4B55-AB59-615B390EABB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145" name="BC$Y$343#GR">
                            <a:extLst>
                              <a:ext uri="{FF2B5EF4-FFF2-40B4-BE49-F238E27FC236}">
                                <a16:creationId xmlns:a16="http://schemas.microsoft.com/office/drawing/2014/main" id="{ED54A5BD-680C-4D60-8EAF-1F34F594734B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143" name="BC$Y$343#GR">
                              <a:extLst>
                                <a:ext uri="{FF2B5EF4-FFF2-40B4-BE49-F238E27FC236}">
                                  <a16:creationId xmlns:a16="http://schemas.microsoft.com/office/drawing/2014/main" id="{66DC59B4-387C-4E7C-89A4-8947F78B0E7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141" name="BC$Y$343#GR">
                                <a:extLst>
                                  <a:ext uri="{FF2B5EF4-FFF2-40B4-BE49-F238E27FC236}">
                                    <a16:creationId xmlns:a16="http://schemas.microsoft.com/office/drawing/2014/main" id="{EC8CE0F1-BE2F-432D-811B-259474D23EB1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139" name="BC$Y$343#GR">
                                  <a:extLst>
                                    <a:ext uri="{FF2B5EF4-FFF2-40B4-BE49-F238E27FC236}">
                                      <a16:creationId xmlns:a16="http://schemas.microsoft.com/office/drawing/2014/main" id="{79D537AD-FB19-4949-A704-E77D5CD65744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137" name="BC$Y$343#GR">
                                    <a:extLst>
                                      <a:ext uri="{FF2B5EF4-FFF2-40B4-BE49-F238E27FC236}">
                                        <a16:creationId xmlns:a16="http://schemas.microsoft.com/office/drawing/2014/main" id="{F78D429B-6D81-4169-971B-7E8EF5FE8B7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135" name="BC$Y$343#GR">
                                      <a:extLst>
                                        <a:ext uri="{FF2B5EF4-FFF2-40B4-BE49-F238E27FC236}">
                                          <a16:creationId xmlns:a16="http://schemas.microsoft.com/office/drawing/2014/main" id="{56BE3905-4E31-4A40-8552-88EB455ADFD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133" name="BC$Y$34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6031B31-9E96-45C1-BCB5-BF8AEA39BBC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131" name="BC$Y$34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D9E40EB-8DD7-425C-BDF1-AB7D19A8D5BF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129" name="BC$Y$34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79E858A-2858-4A06-BE7C-C8E635A1EAAB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127" name="BC$Y$34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81C2E91-553F-4F99-A804-6BDFCD6772CA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125" name="BC$Y$34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A3D50BB-138F-4166-9967-BF8EC7CB5FA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123" name="BC$Y$34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D75BCA4-D21D-4C28-80C2-FC611174601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121" name="BC$Y$34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39D9C89-B0EF-48C0-8AEF-1309244CD67A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119" name="BC$Y$34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8392EEA-0A80-4793-B08B-F96F9CC24ED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117" name="BC$Y$34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303B40C-80C6-4503-B4E7-161C1E4C3B85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115" name="BC$Y$34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0BCA5B1-F344-44A3-8338-09C7768AE0DB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113" name="BC$Y$34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AA46BBC-C909-4CC5-851D-52994066598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111" name="BC$Y$34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22BAD99-F475-4D75-838E-77483B075AC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109" name="BC$Y$34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ECB3D11-CE51-476A-9861-313FB1F9C2D3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107" name="BC$Y$34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5246874-3E9E-4425-9550-C0AA1BBA04B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105" name="BC$Y$34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E224537-638B-45DB-A141-7C83B49E487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103" name="BC$Y$34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79B055D-C053-4CFD-8A14-4292AA8C47E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101" name="BC$Y$34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3906005-19DF-4FEA-9BD5-90BBCCF6B25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099" name="BC$Y$34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5D04804-FF6F-436E-B07A-FD9DFF5ACC8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097" name="BC$Y$34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9580814-2296-428C-9F85-80932CF5F45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095" name="BC$Y$34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58AF8C3-92D7-43C5-92AB-CF5D9CB7E60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093" name="BC$Y$34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203021C-CA8F-4C8A-A4E7-727C0D3FD72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091" name="BC$Y$34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F4C76C1-FDDC-48FE-A440-8F2F32865FB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089" name="BC$Y$343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3BD5D18-A1BF-45DA-83AC-5FE75CDE58DA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087" name="BC$Y$343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549E0FE2-4F73-4E69-944E-DC5A25C2E592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085" name="BC$Y$343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A7505F0-6201-4DFB-A01E-47F1AFAE223B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086" name="BC$Y$343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396DA889-618C-496C-B422-2F3B2C3CD5EC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088" name="BC$Y$343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98661BB9-3A0A-4E15-8B25-86B896B333D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090" name="BC$Y$343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B72EE8F-2750-4260-9F32-FEDBA5EFDCB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092" name="BC$Y$343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908F0C9-481B-45BB-A220-F0EFFBE906A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094" name="BC$Y$343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4014499-46FD-4AF7-B8D8-20CDEDFF536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096" name="BC$Y$343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3145A94-F118-4F17-A6DE-0A3E9B5E5FF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098" name="BC$Y$343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C650CE4-8824-496A-ABFB-A08B39EE424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100" name="BC$Y$343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65EA188-DABD-499B-910E-9AA0E144C7E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102" name="BC$Y$343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F9BB5EC-6DCC-4CC7-9197-D449B59BF9F1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104" name="BC$Y$343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9CA6758-2D11-4A62-A705-CDF74CB90C8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106" name="BC$Y$343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843B9D2-DE24-470D-9E41-5A4DE0F58FA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108" name="BC$Y$343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059B873-CB6F-42DA-A73E-7AE70018172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110" name="BC$Y$343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4E5FE62-77D3-49A4-8581-4920C3AA4D5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112" name="BC$Y$343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D457C26-88BB-4E8C-A37B-B4631EBBC55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114" name="BC$Y$343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7DCA272-562F-459D-B7A2-C7531F864F8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116" name="BC$Y$343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E9B9CC6-1978-42F1-AA21-659ABC98184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118" name="BC$Y$343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FC8A6EA-5177-440C-A372-8EE697B6003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120" name="BC$Y$343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53868EC-81AB-486B-B8C7-037DDAFC692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122" name="BC$Y$343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67254A4-49AB-47E0-9BDA-C9B622F2845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124" name="BC$Y$343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7B15B5D-8B06-478C-9AE3-62EE8CFE2054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126" name="BC$Y$343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74FC527-85E3-4C0B-AD1D-89AE596A389F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128" name="BC$Y$343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AB6ADD4-4BB9-4469-AEBB-01733BFBEE1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130" name="BC$Y$343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AAC793A-3023-4703-A47F-80A12883101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132" name="BC$Y$343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9213D7B-C0E3-4EFD-BB00-63912DEDCC9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134" name="BC$Y$343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0244B86-4C44-4FA3-A418-A5C3425AFB9F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136" name="BC$Y$343#BR26">
                                      <a:extLst>
                                        <a:ext uri="{FF2B5EF4-FFF2-40B4-BE49-F238E27FC236}">
                                          <a16:creationId xmlns:a16="http://schemas.microsoft.com/office/drawing/2014/main" id="{3C39E607-2C86-44B9-ABDF-CD8D255498E4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138" name="BC$Y$343#BR27">
                                    <a:extLst>
                                      <a:ext uri="{FF2B5EF4-FFF2-40B4-BE49-F238E27FC236}">
                                        <a16:creationId xmlns:a16="http://schemas.microsoft.com/office/drawing/2014/main" id="{3CB24494-05C2-4837-A4A2-A3AB30C3746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140" name="BC$Y$343#BR28">
                                  <a:extLst>
                                    <a:ext uri="{FF2B5EF4-FFF2-40B4-BE49-F238E27FC236}">
                                      <a16:creationId xmlns:a16="http://schemas.microsoft.com/office/drawing/2014/main" id="{CC07ADB4-9F6B-4DF2-9341-F71726E75D0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142" name="BC$Y$343#BR29">
                                <a:extLst>
                                  <a:ext uri="{FF2B5EF4-FFF2-40B4-BE49-F238E27FC236}">
                                    <a16:creationId xmlns:a16="http://schemas.microsoft.com/office/drawing/2014/main" id="{69368FB1-B2F0-47DE-9E74-2C76205C8332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144" name="BC$Y$343#BR30">
                              <a:extLst>
                                <a:ext uri="{FF2B5EF4-FFF2-40B4-BE49-F238E27FC236}">
                                  <a16:creationId xmlns:a16="http://schemas.microsoft.com/office/drawing/2014/main" id="{3C63ECCC-9EE0-44AA-BB25-B1FEC1B5AAE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146" name="BC$Y$343#BR31">
                            <a:extLst>
                              <a:ext uri="{FF2B5EF4-FFF2-40B4-BE49-F238E27FC236}">
                                <a16:creationId xmlns:a16="http://schemas.microsoft.com/office/drawing/2014/main" id="{3E82CECC-34B4-401B-9E8E-E43590919CA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148" name="BC$Y$343#BR32">
                          <a:extLst>
                            <a:ext uri="{FF2B5EF4-FFF2-40B4-BE49-F238E27FC236}">
                              <a16:creationId xmlns:a16="http://schemas.microsoft.com/office/drawing/2014/main" id="{28C3ABD3-D240-465E-8949-198997A1623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150" name="BC$Y$343#BR33">
                        <a:extLst>
                          <a:ext uri="{FF2B5EF4-FFF2-40B4-BE49-F238E27FC236}">
                            <a16:creationId xmlns:a16="http://schemas.microsoft.com/office/drawing/2014/main" id="{49C80295-DC5C-4EB6-939D-A64B6C7CCCB2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152" name="BC$Y$343#BR34">
                      <a:extLst>
                        <a:ext uri="{FF2B5EF4-FFF2-40B4-BE49-F238E27FC236}">
                          <a16:creationId xmlns:a16="http://schemas.microsoft.com/office/drawing/2014/main" id="{A4A9ECBD-5789-4547-808D-613FB054C1B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154" name="BC$Y$343#BR35">
                    <a:extLst>
                      <a:ext uri="{FF2B5EF4-FFF2-40B4-BE49-F238E27FC236}">
                        <a16:creationId xmlns:a16="http://schemas.microsoft.com/office/drawing/2014/main" id="{1227A2FA-BA88-4D30-9C96-AD00932D5D05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156" name="BC$Y$343#BR36">
                  <a:extLst>
                    <a:ext uri="{FF2B5EF4-FFF2-40B4-BE49-F238E27FC236}">
                      <a16:creationId xmlns:a16="http://schemas.microsoft.com/office/drawing/2014/main" id="{DE9D702D-9497-41FE-8E12-D66AA4C7A319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158" name="BC$Y$343#BR37">
                <a:extLst>
                  <a:ext uri="{FF2B5EF4-FFF2-40B4-BE49-F238E27FC236}">
                    <a16:creationId xmlns:a16="http://schemas.microsoft.com/office/drawing/2014/main" id="{CEEC1384-3303-4C50-9F91-9408F7765D5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160" name="BC$Y$343#BR38">
              <a:extLst>
                <a:ext uri="{FF2B5EF4-FFF2-40B4-BE49-F238E27FC236}">
                  <a16:creationId xmlns:a16="http://schemas.microsoft.com/office/drawing/2014/main" id="{52CECEAC-F514-449B-90F2-7367D7F0FA9C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162" name="BC$Y$343#BR39">
            <a:extLst>
              <a:ext uri="{FF2B5EF4-FFF2-40B4-BE49-F238E27FC236}">
                <a16:creationId xmlns:a16="http://schemas.microsoft.com/office/drawing/2014/main" id="{D48AD0DE-0CED-4148-942A-2989761D335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19050</xdr:colOff>
      <xdr:row>360</xdr:row>
      <xdr:rowOff>0</xdr:rowOff>
    </xdr:from>
    <xdr:to>
      <xdr:col>13</xdr:col>
      <xdr:colOff>180975</xdr:colOff>
      <xdr:row>362</xdr:row>
      <xdr:rowOff>0</xdr:rowOff>
    </xdr:to>
    <xdr:grpSp>
      <xdr:nvGrpSpPr>
        <xdr:cNvPr id="11242" name="BC$K$354#GR">
          <a:extLst>
            <a:ext uri="{FF2B5EF4-FFF2-40B4-BE49-F238E27FC236}">
              <a16:creationId xmlns:a16="http://schemas.microsoft.com/office/drawing/2014/main" id="{7DD9EE3A-9E56-4B7F-94EC-4CD9BE4BBC2E}"/>
            </a:ext>
          </a:extLst>
        </xdr:cNvPr>
        <xdr:cNvGrpSpPr/>
      </xdr:nvGrpSpPr>
      <xdr:grpSpPr>
        <a:xfrm>
          <a:off x="2647950" y="68484750"/>
          <a:ext cx="381000" cy="381000"/>
          <a:chOff x="0" y="0"/>
          <a:chExt cx="381000" cy="381000"/>
        </a:xfrm>
      </xdr:grpSpPr>
      <xdr:grpSp>
        <xdr:nvGrpSpPr>
          <xdr:cNvPr id="11240" name="BC$K$354#GR">
            <a:extLst>
              <a:ext uri="{FF2B5EF4-FFF2-40B4-BE49-F238E27FC236}">
                <a16:creationId xmlns:a16="http://schemas.microsoft.com/office/drawing/2014/main" id="{200023E7-0716-48A4-8562-FD92F990213A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238" name="BC$K$354#GR">
              <a:extLst>
                <a:ext uri="{FF2B5EF4-FFF2-40B4-BE49-F238E27FC236}">
                  <a16:creationId xmlns:a16="http://schemas.microsoft.com/office/drawing/2014/main" id="{CB7C12F9-1E82-47CD-9603-35657F21E539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236" name="BC$K$354#GR">
                <a:extLst>
                  <a:ext uri="{FF2B5EF4-FFF2-40B4-BE49-F238E27FC236}">
                    <a16:creationId xmlns:a16="http://schemas.microsoft.com/office/drawing/2014/main" id="{72514393-F71A-4052-98CA-020CBC8223E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234" name="BC$K$354#GR">
                  <a:extLst>
                    <a:ext uri="{FF2B5EF4-FFF2-40B4-BE49-F238E27FC236}">
                      <a16:creationId xmlns:a16="http://schemas.microsoft.com/office/drawing/2014/main" id="{04374C29-7F81-43AB-B59D-1CF48E3A6598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232" name="BC$K$354#GR">
                    <a:extLst>
                      <a:ext uri="{FF2B5EF4-FFF2-40B4-BE49-F238E27FC236}">
                        <a16:creationId xmlns:a16="http://schemas.microsoft.com/office/drawing/2014/main" id="{5706B2B2-B3ED-443E-822A-D56D2A12EAB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230" name="BC$K$354#GR">
                      <a:extLst>
                        <a:ext uri="{FF2B5EF4-FFF2-40B4-BE49-F238E27FC236}">
                          <a16:creationId xmlns:a16="http://schemas.microsoft.com/office/drawing/2014/main" id="{2048EBB5-FEC9-4CD2-8E37-09D5AB41CA1F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228" name="BC$K$354#GR">
                        <a:extLst>
                          <a:ext uri="{FF2B5EF4-FFF2-40B4-BE49-F238E27FC236}">
                            <a16:creationId xmlns:a16="http://schemas.microsoft.com/office/drawing/2014/main" id="{C37E5CB4-4A8B-4485-A0A4-F4DC26E1072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226" name="BC$K$354#GR">
                          <a:extLst>
                            <a:ext uri="{FF2B5EF4-FFF2-40B4-BE49-F238E27FC236}">
                              <a16:creationId xmlns:a16="http://schemas.microsoft.com/office/drawing/2014/main" id="{7945D1A2-A7F2-42AB-B071-FF30F78F559F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224" name="BC$K$354#GR">
                            <a:extLst>
                              <a:ext uri="{FF2B5EF4-FFF2-40B4-BE49-F238E27FC236}">
                                <a16:creationId xmlns:a16="http://schemas.microsoft.com/office/drawing/2014/main" id="{27100F40-B952-4529-9210-0029B66174D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222" name="BC$K$354#GR">
                              <a:extLst>
                                <a:ext uri="{FF2B5EF4-FFF2-40B4-BE49-F238E27FC236}">
                                  <a16:creationId xmlns:a16="http://schemas.microsoft.com/office/drawing/2014/main" id="{D5C33F91-376E-4070-9BDA-561FEC569C5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220" name="BC$K$354#GR">
                                <a:extLst>
                                  <a:ext uri="{FF2B5EF4-FFF2-40B4-BE49-F238E27FC236}">
                                    <a16:creationId xmlns:a16="http://schemas.microsoft.com/office/drawing/2014/main" id="{8ACA7276-BC2A-46EB-BFFE-3A04E19647E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218" name="BC$K$354#GR">
                                  <a:extLst>
                                    <a:ext uri="{FF2B5EF4-FFF2-40B4-BE49-F238E27FC236}">
                                      <a16:creationId xmlns:a16="http://schemas.microsoft.com/office/drawing/2014/main" id="{27D62C44-8184-472E-BBAD-81186B14C45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216" name="BC$K$354#GR">
                                    <a:extLst>
                                      <a:ext uri="{FF2B5EF4-FFF2-40B4-BE49-F238E27FC236}">
                                        <a16:creationId xmlns:a16="http://schemas.microsoft.com/office/drawing/2014/main" id="{906C99C7-918E-4F9E-98D3-0B834565AA2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214" name="BC$K$354#GR">
                                      <a:extLst>
                                        <a:ext uri="{FF2B5EF4-FFF2-40B4-BE49-F238E27FC236}">
                                          <a16:creationId xmlns:a16="http://schemas.microsoft.com/office/drawing/2014/main" id="{44F5B369-1995-40D3-969C-EF3A54CF9893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212" name="BC$K$35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DE5651D-4E6B-4B20-A7EB-F1271F35B2F4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210" name="BC$K$35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D10E9B4-D448-42A6-8303-7903DF62EB8A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208" name="BC$K$35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B6DC209-D2D6-4629-B79D-04A99C2979A1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206" name="BC$K$35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BD0621C-2FB4-4FBD-84C0-15B9D0467B6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204" name="BC$K$35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F84466B-B2D0-4538-8C46-7C90E2E76753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202" name="BC$K$35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3DBFB56-0AFE-4C75-848F-F572E9CA75B7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200" name="BC$K$35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67D54C2-5F70-47DB-95B6-BA03DE1DA96A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198" name="BC$K$35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CC0BA37-9608-43F4-AFB0-286D19158F6B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196" name="BC$K$35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CFE5607-F28C-4A76-A566-1BB82CD8C2E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194" name="BC$K$35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00E5E75-FA8B-4FFE-B510-816F5463591B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192" name="BC$K$35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03C2749-AAFC-4AD0-8372-8E65394062F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190" name="BC$K$35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730E4BF-5431-4A0A-B1AA-CD8574304D5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188" name="BC$K$35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E65603F-7B34-4ECA-8AF2-C9E7625DA2F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186" name="BC$K$35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1A1FBD4-3D3D-47FD-8EDE-6765B4D8CA1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184" name="BC$K$35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BF1D427-DF0E-444D-96A5-18D984CA3BB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182" name="BC$K$35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B7E8F50-067A-427E-8D8E-E65806E957B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180" name="BC$K$35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A6D4FB9-51F4-4771-B411-4E53658AD9B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178" name="BC$K$35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6FCA43C-DF12-4363-AE0C-1361125D973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176" name="BC$K$35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6269046-A09E-42D5-A220-5D0113854C2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174" name="BC$K$35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3DA62D3-97E1-43D2-B16E-03CB9F3D287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172" name="BC$K$35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43141CF-B59A-4599-ADD3-BB42A7AA5C8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170" name="BC$K$35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A4BCAE1-975A-4902-8AAC-C7BAF389FE6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168" name="BC$K$354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8118C66-67D8-4B92-B1C3-6A2EAD5F01D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166" name="BC$K$354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B0F6985-210A-437B-A9A3-F2A470E8BAD9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164" name="BC$K$354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C9FD1BA7-D469-4FA5-9F7F-46F5967DA7B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165" name="BC$K$354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B336827-95B4-4EF9-9C8F-F87431FC93F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167" name="BC$K$354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DCE1EB7-773F-4675-AA2F-897E688395F7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169" name="BC$K$354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27FE6BC-2999-47A8-9F48-02E3C24EFB2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171" name="BC$K$354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AF69872-F7B1-40D3-A1E5-CAC8B3694FD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173" name="BC$K$354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AC7A75E-AADD-48B5-9614-54C3B2152C2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175" name="BC$K$354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4F993E5-7E5A-41F3-AC9D-8BD00807B77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177" name="BC$K$354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C665C25-7F18-472D-9CFF-D9CB61A496B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179" name="BC$K$354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D764209-367E-4F96-A016-439534D3C6A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181" name="BC$K$354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745F66A-FC87-49AA-A8C3-FD4F79F84CA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183" name="BC$K$354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34A065F-3624-426C-99B4-6AFE81625DA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185" name="BC$K$354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9C7D9FE-7245-4C09-AFEA-515E9509021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187" name="BC$K$354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F19B63A-94B4-48E9-BBAD-6ADECB178ED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189" name="BC$K$354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D964369-FA1B-40DC-913D-E90AE9E52D1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191" name="BC$K$354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22B57BB-2619-4354-A8A0-A3A24B68FA8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193" name="BC$K$354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B877777-29D7-4D29-9E44-DA611F0E451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195" name="BC$K$354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6991085-27D4-4C9E-954C-08D5A4A5BDD5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197" name="BC$K$354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2CD733A-8934-4E5B-9F2F-3FDF42457EC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199" name="BC$K$354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1565002-79FF-4210-8ED9-63B7CED6EA8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201" name="BC$K$354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29EE24F-F6BA-4627-92CF-4DD2DB3A611D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203" name="BC$K$354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EF486A6-C118-4518-8DA3-BBB2887E386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205" name="BC$K$354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0C8FCFB-BEE0-4017-ACC3-70DA919386A1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207" name="BC$K$354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47EF45C-E581-447E-917B-A41D3AED4A3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209" name="BC$K$354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41D39E9-6DBF-4E8D-AC24-FDE3E70895F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211" name="BC$K$354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FC66CAD-D52F-41F9-B734-349068862D7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213" name="BC$K$354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7EAA3D9-58E6-4079-AA1F-DCF86743AB9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215" name="BC$K$354#BR26">
                                      <a:extLst>
                                        <a:ext uri="{FF2B5EF4-FFF2-40B4-BE49-F238E27FC236}">
                                          <a16:creationId xmlns:a16="http://schemas.microsoft.com/office/drawing/2014/main" id="{C5C67E3A-D7E1-4003-A23E-B82667D6EB0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217" name="BC$K$354#BR27">
                                    <a:extLst>
                                      <a:ext uri="{FF2B5EF4-FFF2-40B4-BE49-F238E27FC236}">
                                        <a16:creationId xmlns:a16="http://schemas.microsoft.com/office/drawing/2014/main" id="{0E52697E-B2B3-4603-A129-D4C5180F397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219" name="BC$K$354#BR28">
                                  <a:extLst>
                                    <a:ext uri="{FF2B5EF4-FFF2-40B4-BE49-F238E27FC236}">
                                      <a16:creationId xmlns:a16="http://schemas.microsoft.com/office/drawing/2014/main" id="{6248D8B8-CC69-4D60-AC62-86053FE4A59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221" name="BC$K$354#BR29">
                                <a:extLst>
                                  <a:ext uri="{FF2B5EF4-FFF2-40B4-BE49-F238E27FC236}">
                                    <a16:creationId xmlns:a16="http://schemas.microsoft.com/office/drawing/2014/main" id="{4ADAF931-FF0F-4CDC-BE98-7491029A407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223" name="BC$K$354#BR30">
                              <a:extLst>
                                <a:ext uri="{FF2B5EF4-FFF2-40B4-BE49-F238E27FC236}">
                                  <a16:creationId xmlns:a16="http://schemas.microsoft.com/office/drawing/2014/main" id="{8E862B52-B9A6-495E-9315-2ABA3E17EC9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225" name="BC$K$354#BR31">
                            <a:extLst>
                              <a:ext uri="{FF2B5EF4-FFF2-40B4-BE49-F238E27FC236}">
                                <a16:creationId xmlns:a16="http://schemas.microsoft.com/office/drawing/2014/main" id="{F067D5CA-A897-45E2-9881-68356C8D098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227" name="BC$K$354#BR32">
                          <a:extLst>
                            <a:ext uri="{FF2B5EF4-FFF2-40B4-BE49-F238E27FC236}">
                              <a16:creationId xmlns:a16="http://schemas.microsoft.com/office/drawing/2014/main" id="{71BBE922-2A61-49A5-9194-88D3F0DEA0A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229" name="BC$K$354#BR33">
                        <a:extLst>
                          <a:ext uri="{FF2B5EF4-FFF2-40B4-BE49-F238E27FC236}">
                            <a16:creationId xmlns:a16="http://schemas.microsoft.com/office/drawing/2014/main" id="{5A48AACF-C806-4EFB-9764-981D4983A88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231" name="BC$K$354#BR34">
                      <a:extLst>
                        <a:ext uri="{FF2B5EF4-FFF2-40B4-BE49-F238E27FC236}">
                          <a16:creationId xmlns:a16="http://schemas.microsoft.com/office/drawing/2014/main" id="{941A16FE-DF1B-40F1-827E-CE48D39C2F2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233" name="BC$K$354#BR35">
                    <a:extLst>
                      <a:ext uri="{FF2B5EF4-FFF2-40B4-BE49-F238E27FC236}">
                        <a16:creationId xmlns:a16="http://schemas.microsoft.com/office/drawing/2014/main" id="{8E0A8B2B-C892-4D4A-906B-9D738AE53293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235" name="BC$K$354#BR36">
                  <a:extLst>
                    <a:ext uri="{FF2B5EF4-FFF2-40B4-BE49-F238E27FC236}">
                      <a16:creationId xmlns:a16="http://schemas.microsoft.com/office/drawing/2014/main" id="{C1305691-8661-4BF8-8176-2F8B3618D2D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237" name="BC$K$354#BR37">
                <a:extLst>
                  <a:ext uri="{FF2B5EF4-FFF2-40B4-BE49-F238E27FC236}">
                    <a16:creationId xmlns:a16="http://schemas.microsoft.com/office/drawing/2014/main" id="{150DC30F-1280-4687-91A1-97270D94D31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239" name="BC$K$354#BR38">
              <a:extLst>
                <a:ext uri="{FF2B5EF4-FFF2-40B4-BE49-F238E27FC236}">
                  <a16:creationId xmlns:a16="http://schemas.microsoft.com/office/drawing/2014/main" id="{D8053D91-FD92-4ADC-A243-D45B982CD2A8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241" name="BC$K$354#BR39">
            <a:extLst>
              <a:ext uri="{FF2B5EF4-FFF2-40B4-BE49-F238E27FC236}">
                <a16:creationId xmlns:a16="http://schemas.microsoft.com/office/drawing/2014/main" id="{7A888CF4-631D-4221-B92F-085FD8E064AD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360</xdr:row>
      <xdr:rowOff>19050</xdr:rowOff>
    </xdr:from>
    <xdr:to>
      <xdr:col>27</xdr:col>
      <xdr:colOff>190500</xdr:colOff>
      <xdr:row>362</xdr:row>
      <xdr:rowOff>19050</xdr:rowOff>
    </xdr:to>
    <xdr:grpSp>
      <xdr:nvGrpSpPr>
        <xdr:cNvPr id="11321" name="BC$Y$354#GR">
          <a:extLst>
            <a:ext uri="{FF2B5EF4-FFF2-40B4-BE49-F238E27FC236}">
              <a16:creationId xmlns:a16="http://schemas.microsoft.com/office/drawing/2014/main" id="{56697636-91DB-47F9-AD39-465D9F96C004}"/>
            </a:ext>
          </a:extLst>
        </xdr:cNvPr>
        <xdr:cNvGrpSpPr/>
      </xdr:nvGrpSpPr>
      <xdr:grpSpPr>
        <a:xfrm>
          <a:off x="5772150" y="68503800"/>
          <a:ext cx="381000" cy="381000"/>
          <a:chOff x="0" y="0"/>
          <a:chExt cx="381000" cy="381000"/>
        </a:xfrm>
      </xdr:grpSpPr>
      <xdr:grpSp>
        <xdr:nvGrpSpPr>
          <xdr:cNvPr id="11319" name="BC$Y$354#GR">
            <a:extLst>
              <a:ext uri="{FF2B5EF4-FFF2-40B4-BE49-F238E27FC236}">
                <a16:creationId xmlns:a16="http://schemas.microsoft.com/office/drawing/2014/main" id="{7DB216BA-4934-4C89-83C6-2765EBFFD35E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317" name="BC$Y$354#GR">
              <a:extLst>
                <a:ext uri="{FF2B5EF4-FFF2-40B4-BE49-F238E27FC236}">
                  <a16:creationId xmlns:a16="http://schemas.microsoft.com/office/drawing/2014/main" id="{9AD1F5C3-86D8-43DB-9C06-6ED41E7DDC6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315" name="BC$Y$354#GR">
                <a:extLst>
                  <a:ext uri="{FF2B5EF4-FFF2-40B4-BE49-F238E27FC236}">
                    <a16:creationId xmlns:a16="http://schemas.microsoft.com/office/drawing/2014/main" id="{088617A3-2D87-43FA-B780-75F566E0F837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313" name="BC$Y$354#GR">
                  <a:extLst>
                    <a:ext uri="{FF2B5EF4-FFF2-40B4-BE49-F238E27FC236}">
                      <a16:creationId xmlns:a16="http://schemas.microsoft.com/office/drawing/2014/main" id="{3C2E836A-A25D-4367-8A3B-0856C5DD3A8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311" name="BC$Y$354#GR">
                    <a:extLst>
                      <a:ext uri="{FF2B5EF4-FFF2-40B4-BE49-F238E27FC236}">
                        <a16:creationId xmlns:a16="http://schemas.microsoft.com/office/drawing/2014/main" id="{4D63E1B5-9EA3-4E1F-807B-3D3746081F9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309" name="BC$Y$354#GR">
                      <a:extLst>
                        <a:ext uri="{FF2B5EF4-FFF2-40B4-BE49-F238E27FC236}">
                          <a16:creationId xmlns:a16="http://schemas.microsoft.com/office/drawing/2014/main" id="{92C63B16-2E53-4C51-877F-D52102A5F19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307" name="BC$Y$354#GR">
                        <a:extLst>
                          <a:ext uri="{FF2B5EF4-FFF2-40B4-BE49-F238E27FC236}">
                            <a16:creationId xmlns:a16="http://schemas.microsoft.com/office/drawing/2014/main" id="{B8C9A1B6-05C1-41FF-9B9A-BA4D3E8C188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305" name="BC$Y$354#GR">
                          <a:extLst>
                            <a:ext uri="{FF2B5EF4-FFF2-40B4-BE49-F238E27FC236}">
                              <a16:creationId xmlns:a16="http://schemas.microsoft.com/office/drawing/2014/main" id="{E90B4A69-4EC7-496B-8517-CFF96BEA483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303" name="BC$Y$354#GR">
                            <a:extLst>
                              <a:ext uri="{FF2B5EF4-FFF2-40B4-BE49-F238E27FC236}">
                                <a16:creationId xmlns:a16="http://schemas.microsoft.com/office/drawing/2014/main" id="{9E849791-1C7E-4F77-B27F-91CAA14B725E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301" name="BC$Y$354#GR">
                              <a:extLst>
                                <a:ext uri="{FF2B5EF4-FFF2-40B4-BE49-F238E27FC236}">
                                  <a16:creationId xmlns:a16="http://schemas.microsoft.com/office/drawing/2014/main" id="{45EA3FE7-25D0-47DE-8AD2-66820790E60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299" name="BC$Y$354#GR">
                                <a:extLst>
                                  <a:ext uri="{FF2B5EF4-FFF2-40B4-BE49-F238E27FC236}">
                                    <a16:creationId xmlns:a16="http://schemas.microsoft.com/office/drawing/2014/main" id="{518A8EEF-4D70-4C4F-8B42-3DD56357A49A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297" name="BC$Y$354#GR">
                                  <a:extLst>
                                    <a:ext uri="{FF2B5EF4-FFF2-40B4-BE49-F238E27FC236}">
                                      <a16:creationId xmlns:a16="http://schemas.microsoft.com/office/drawing/2014/main" id="{25B4480F-E24E-49A3-A201-906EB8146F2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295" name="BC$Y$354#GR">
                                    <a:extLst>
                                      <a:ext uri="{FF2B5EF4-FFF2-40B4-BE49-F238E27FC236}">
                                        <a16:creationId xmlns:a16="http://schemas.microsoft.com/office/drawing/2014/main" id="{98B6BEE4-1A19-44D0-B0F4-AA7A1DF8ADB8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293" name="BC$Y$354#GR">
                                      <a:extLst>
                                        <a:ext uri="{FF2B5EF4-FFF2-40B4-BE49-F238E27FC236}">
                                          <a16:creationId xmlns:a16="http://schemas.microsoft.com/office/drawing/2014/main" id="{E8890748-EBDE-4928-A9BF-800C0EF22DD1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291" name="BC$Y$35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91CF297-EF7C-4185-90F0-7DD6048ED754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289" name="BC$Y$35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DD9462D-5C42-42EC-A73C-03972048C8F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287" name="BC$Y$35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B12AAA5-E297-4763-A77D-A59486F99CC3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285" name="BC$Y$35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5CC6BEE-8C61-4C77-A101-A3E9A6711B8C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283" name="BC$Y$35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5081703-B96D-4735-85B9-3FD05FD0502F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281" name="BC$Y$35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8FD0FD0-1594-4752-BF07-495BD60E7334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279" name="BC$Y$35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FB2AF10-D7CE-4227-BE1B-4300C1B2914A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277" name="BC$Y$35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C669339-56AF-4985-B992-4B8F74209EF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275" name="BC$Y$35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CF431BB-1818-4B90-96AE-6761F1501DD1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273" name="BC$Y$35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0C8BDC2-D220-47D1-85F8-31E72628029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271" name="BC$Y$35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5ABC421-13CD-4129-96E1-C891F8E2E92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269" name="BC$Y$35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2B10135-B04E-4BDC-8915-BE274E9B63E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267" name="BC$Y$35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E4E26EE-26A4-4CF6-87F6-D16F9539745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265" name="BC$Y$35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17F2549-2CAD-44D6-A0C3-A0DC3A656BC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263" name="BC$Y$35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D281C23-D312-44CF-BE0C-8278DC1FF4A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261" name="BC$Y$35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D0E40BE-9F39-425E-BE4F-9D08793F9FB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259" name="BC$Y$35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3252FF6-23DC-4562-B8F0-B3B9F2884EC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257" name="BC$Y$35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882DB68-DACF-47DA-BC5F-235383E44B6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255" name="BC$Y$35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FA8CE4F-BFFA-4F18-BA0C-84BE896D42F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253" name="BC$Y$35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112A47C-DFA5-4AE8-A4D2-E593D18BC9D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251" name="BC$Y$35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F64D36F-1450-4D8C-B187-B528FDAF98C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249" name="BC$Y$35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8F850F7-66F8-4D6C-816B-808D1D70AE5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247" name="BC$Y$354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56A7B38-68F7-445A-94D4-4CC9E68048B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245" name="BC$Y$354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AC42DC5-BEC5-4CA9-B4FC-57E21B83231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243" name="BC$Y$354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FF51310-1FD9-48A7-A363-9FA679B66A64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244" name="BC$Y$354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83EE11B4-99E2-4E6E-9CD1-9F24F56B005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246" name="BC$Y$354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35A73CC9-33C4-40AE-B50A-A4F124CE8C9C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248" name="BC$Y$354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35B3640-2366-438B-BE47-39B40895759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250" name="BC$Y$354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C2AF84B-B20A-49BF-B950-DE5008F2D96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252" name="BC$Y$354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468B2DE-58DD-4987-B65C-A9B13319796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254" name="BC$Y$354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8EDAB23-1E39-46E6-91A7-60AFBCF72FD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256" name="BC$Y$354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952A389-4F67-4BDF-87CE-8FD980C109D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258" name="BC$Y$354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C04C57A-E664-48B7-B6C0-792C6666382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260" name="BC$Y$354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0017C69-9030-4A20-8702-FB9F9A90C7F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262" name="BC$Y$354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5BDBD59-7D15-42B7-8D8C-BE876C65059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264" name="BC$Y$354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E98F228-31FA-4393-99E6-C506102675E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266" name="BC$Y$354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42FF0B2-2847-46C8-896E-C529FD3A286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268" name="BC$Y$354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3099934-3AA5-468D-9E2B-85ECD2F3415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270" name="BC$Y$354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F665C72-235F-4F96-A96F-8AD3010AAF6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272" name="BC$Y$354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F7748FA-BE1F-40D1-9F2F-FCBE8B0751D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274" name="BC$Y$354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E39C9E8-7155-414A-9D18-BC1709EA87A1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276" name="BC$Y$354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173AA00-667F-4373-8D6A-F4E47E4EFEF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278" name="BC$Y$354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EC89086-58E5-42E0-8CD2-E221D74BEF51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280" name="BC$Y$354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C30C727-FCF4-49F6-99EB-36976D15FB91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282" name="BC$Y$354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0C07911-D298-4D5F-A0D4-C345B2C173FE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284" name="BC$Y$354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B78CA72-677D-4096-A8C5-7AC0407D4D1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286" name="BC$Y$354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F02CA09-E86D-40D9-9B24-4D637B10B0E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288" name="BC$Y$354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2F35A75-6EC9-41FA-93D0-AB1951A5750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290" name="BC$Y$354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4A5CFBD-C8EC-47AA-9AB1-527DC050BDF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292" name="BC$Y$354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28711B1-DB86-4287-91B3-D5D23802CED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294" name="BC$Y$354#BR26">
                                      <a:extLst>
                                        <a:ext uri="{FF2B5EF4-FFF2-40B4-BE49-F238E27FC236}">
                                          <a16:creationId xmlns:a16="http://schemas.microsoft.com/office/drawing/2014/main" id="{029C350B-8764-4331-A5D5-18436C78B33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296" name="BC$Y$354#BR27">
                                    <a:extLst>
                                      <a:ext uri="{FF2B5EF4-FFF2-40B4-BE49-F238E27FC236}">
                                        <a16:creationId xmlns:a16="http://schemas.microsoft.com/office/drawing/2014/main" id="{FCB7358A-B069-4D8A-A80B-299BC3815F3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298" name="BC$Y$354#BR28">
                                  <a:extLst>
                                    <a:ext uri="{FF2B5EF4-FFF2-40B4-BE49-F238E27FC236}">
                                      <a16:creationId xmlns:a16="http://schemas.microsoft.com/office/drawing/2014/main" id="{9DA95659-9D1B-4200-B0FD-79B1AAADEC3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300" name="BC$Y$354#BR29">
                                <a:extLst>
                                  <a:ext uri="{FF2B5EF4-FFF2-40B4-BE49-F238E27FC236}">
                                    <a16:creationId xmlns:a16="http://schemas.microsoft.com/office/drawing/2014/main" id="{BF8C2A34-E59A-482D-87E5-5A4298AE252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302" name="BC$Y$354#BR30">
                              <a:extLst>
                                <a:ext uri="{FF2B5EF4-FFF2-40B4-BE49-F238E27FC236}">
                                  <a16:creationId xmlns:a16="http://schemas.microsoft.com/office/drawing/2014/main" id="{846B699E-E4F6-4E76-AC1E-B835C6D3565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304" name="BC$Y$354#BR31">
                            <a:extLst>
                              <a:ext uri="{FF2B5EF4-FFF2-40B4-BE49-F238E27FC236}">
                                <a16:creationId xmlns:a16="http://schemas.microsoft.com/office/drawing/2014/main" id="{95921FED-D7C0-4709-A048-DE6BB24D04A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306" name="BC$Y$354#BR32">
                          <a:extLst>
                            <a:ext uri="{FF2B5EF4-FFF2-40B4-BE49-F238E27FC236}">
                              <a16:creationId xmlns:a16="http://schemas.microsoft.com/office/drawing/2014/main" id="{65C63C6F-D398-4E04-811A-ABD462366BA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308" name="BC$Y$354#BR33">
                        <a:extLst>
                          <a:ext uri="{FF2B5EF4-FFF2-40B4-BE49-F238E27FC236}">
                            <a16:creationId xmlns:a16="http://schemas.microsoft.com/office/drawing/2014/main" id="{FA1D554A-DE7B-46D7-98E5-B88D95DE92EC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310" name="BC$Y$354#BR34">
                      <a:extLst>
                        <a:ext uri="{FF2B5EF4-FFF2-40B4-BE49-F238E27FC236}">
                          <a16:creationId xmlns:a16="http://schemas.microsoft.com/office/drawing/2014/main" id="{BDBDA95E-ED8E-4B85-9656-A852F970DAC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312" name="BC$Y$354#BR35">
                    <a:extLst>
                      <a:ext uri="{FF2B5EF4-FFF2-40B4-BE49-F238E27FC236}">
                        <a16:creationId xmlns:a16="http://schemas.microsoft.com/office/drawing/2014/main" id="{AC2FA518-AC99-44F5-BC41-EEA5F96254DB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314" name="BC$Y$354#BR36">
                  <a:extLst>
                    <a:ext uri="{FF2B5EF4-FFF2-40B4-BE49-F238E27FC236}">
                      <a16:creationId xmlns:a16="http://schemas.microsoft.com/office/drawing/2014/main" id="{2CBA281B-747D-4F8B-9BB8-3DDD1DDA6B5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316" name="BC$Y$354#BR37">
                <a:extLst>
                  <a:ext uri="{FF2B5EF4-FFF2-40B4-BE49-F238E27FC236}">
                    <a16:creationId xmlns:a16="http://schemas.microsoft.com/office/drawing/2014/main" id="{72E8C46B-864B-4F72-80BE-6742E22C753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318" name="BC$Y$354#BR38">
              <a:extLst>
                <a:ext uri="{FF2B5EF4-FFF2-40B4-BE49-F238E27FC236}">
                  <a16:creationId xmlns:a16="http://schemas.microsoft.com/office/drawing/2014/main" id="{2806F47E-92C7-4254-B060-784B7A9596F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320" name="BC$Y$354#BR39">
            <a:extLst>
              <a:ext uri="{FF2B5EF4-FFF2-40B4-BE49-F238E27FC236}">
                <a16:creationId xmlns:a16="http://schemas.microsoft.com/office/drawing/2014/main" id="{182244FC-7B25-40BC-AE25-09A7AC4B5A5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370</xdr:row>
      <xdr:rowOff>180975</xdr:rowOff>
    </xdr:from>
    <xdr:to>
      <xdr:col>13</xdr:col>
      <xdr:colOff>209550</xdr:colOff>
      <xdr:row>372</xdr:row>
      <xdr:rowOff>180975</xdr:rowOff>
    </xdr:to>
    <xdr:grpSp>
      <xdr:nvGrpSpPr>
        <xdr:cNvPr id="11400" name="BC$K$365#GR">
          <a:extLst>
            <a:ext uri="{FF2B5EF4-FFF2-40B4-BE49-F238E27FC236}">
              <a16:creationId xmlns:a16="http://schemas.microsoft.com/office/drawing/2014/main" id="{D5C3B189-8586-419F-85B6-6058671911E7}"/>
            </a:ext>
          </a:extLst>
        </xdr:cNvPr>
        <xdr:cNvGrpSpPr/>
      </xdr:nvGrpSpPr>
      <xdr:grpSpPr>
        <a:xfrm>
          <a:off x="2676525" y="70570725"/>
          <a:ext cx="381000" cy="381000"/>
          <a:chOff x="0" y="0"/>
          <a:chExt cx="381000" cy="381000"/>
        </a:xfrm>
      </xdr:grpSpPr>
      <xdr:grpSp>
        <xdr:nvGrpSpPr>
          <xdr:cNvPr id="11398" name="BC$K$365#GR">
            <a:extLst>
              <a:ext uri="{FF2B5EF4-FFF2-40B4-BE49-F238E27FC236}">
                <a16:creationId xmlns:a16="http://schemas.microsoft.com/office/drawing/2014/main" id="{136C2C1F-CCAF-49E6-BF39-44D7FB77509C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396" name="BC$K$365#GR">
              <a:extLst>
                <a:ext uri="{FF2B5EF4-FFF2-40B4-BE49-F238E27FC236}">
                  <a16:creationId xmlns:a16="http://schemas.microsoft.com/office/drawing/2014/main" id="{61730254-69F7-4980-A998-2C7C9450042F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394" name="BC$K$365#GR">
                <a:extLst>
                  <a:ext uri="{FF2B5EF4-FFF2-40B4-BE49-F238E27FC236}">
                    <a16:creationId xmlns:a16="http://schemas.microsoft.com/office/drawing/2014/main" id="{B6240458-3E40-4B49-A0ED-E763F8FCA78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392" name="BC$K$365#GR">
                  <a:extLst>
                    <a:ext uri="{FF2B5EF4-FFF2-40B4-BE49-F238E27FC236}">
                      <a16:creationId xmlns:a16="http://schemas.microsoft.com/office/drawing/2014/main" id="{6C926CB3-B7A3-41D9-8743-C445BE21DF0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390" name="BC$K$365#GR">
                    <a:extLst>
                      <a:ext uri="{FF2B5EF4-FFF2-40B4-BE49-F238E27FC236}">
                        <a16:creationId xmlns:a16="http://schemas.microsoft.com/office/drawing/2014/main" id="{253CBD53-B206-4C80-9D30-FA3A127F3E5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388" name="BC$K$365#GR">
                      <a:extLst>
                        <a:ext uri="{FF2B5EF4-FFF2-40B4-BE49-F238E27FC236}">
                          <a16:creationId xmlns:a16="http://schemas.microsoft.com/office/drawing/2014/main" id="{02ED35D5-0D0C-435F-BC49-8E1476F4EBEB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386" name="BC$K$365#GR">
                        <a:extLst>
                          <a:ext uri="{FF2B5EF4-FFF2-40B4-BE49-F238E27FC236}">
                            <a16:creationId xmlns:a16="http://schemas.microsoft.com/office/drawing/2014/main" id="{97FAA936-6BAC-4ABE-97DE-E8795F6774E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384" name="BC$K$365#GR">
                          <a:extLst>
                            <a:ext uri="{FF2B5EF4-FFF2-40B4-BE49-F238E27FC236}">
                              <a16:creationId xmlns:a16="http://schemas.microsoft.com/office/drawing/2014/main" id="{AC1F3F06-E585-4323-AD3C-1B8E76EC6331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382" name="BC$K$365#GR">
                            <a:extLst>
                              <a:ext uri="{FF2B5EF4-FFF2-40B4-BE49-F238E27FC236}">
                                <a16:creationId xmlns:a16="http://schemas.microsoft.com/office/drawing/2014/main" id="{D38C6D0E-FA47-46AE-A709-20943F0315F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380" name="BC$K$365#GR">
                              <a:extLst>
                                <a:ext uri="{FF2B5EF4-FFF2-40B4-BE49-F238E27FC236}">
                                  <a16:creationId xmlns:a16="http://schemas.microsoft.com/office/drawing/2014/main" id="{4BEA2714-55C5-4F01-8DB0-546DB207820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378" name="BC$K$365#GR">
                                <a:extLst>
                                  <a:ext uri="{FF2B5EF4-FFF2-40B4-BE49-F238E27FC236}">
                                    <a16:creationId xmlns:a16="http://schemas.microsoft.com/office/drawing/2014/main" id="{F6441E5D-4168-4795-9813-A93068B7EA7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376" name="BC$K$365#GR">
                                  <a:extLst>
                                    <a:ext uri="{FF2B5EF4-FFF2-40B4-BE49-F238E27FC236}">
                                      <a16:creationId xmlns:a16="http://schemas.microsoft.com/office/drawing/2014/main" id="{54585718-89EB-4E8B-91CB-4C3F29DAE14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374" name="BC$K$365#GR">
                                    <a:extLst>
                                      <a:ext uri="{FF2B5EF4-FFF2-40B4-BE49-F238E27FC236}">
                                        <a16:creationId xmlns:a16="http://schemas.microsoft.com/office/drawing/2014/main" id="{16AFC8D3-F12E-456D-ADC6-A92C12C73C46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372" name="BC$K$365#GR">
                                      <a:extLst>
                                        <a:ext uri="{FF2B5EF4-FFF2-40B4-BE49-F238E27FC236}">
                                          <a16:creationId xmlns:a16="http://schemas.microsoft.com/office/drawing/2014/main" id="{F8463569-1BB6-472D-A795-A24E34688124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370" name="BC$K$36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7500DB1-EAF7-443E-A454-B66D352BAF79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368" name="BC$K$36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FB84CCA-6908-4CAF-A3FA-ED2684AB6DE4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366" name="BC$K$36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BF9E370-B5A8-4EBF-9119-8391BFA965CE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364" name="BC$K$36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2DA78BA-48D0-42B6-82F5-7FEC1BAB284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362" name="BC$K$36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D5CF12C-E113-447A-B8F7-99219E8793D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360" name="BC$K$36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ADE2B3C-C374-4C7F-B7EC-7FFA9C43A4F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358" name="BC$K$36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271665D-F675-4E0B-896F-B90FFB73E0B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356" name="BC$K$36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932A51D-9069-4545-80B1-FE7C14A9E111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354" name="BC$K$36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462F36B-B930-4B53-94FD-40276450368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352" name="BC$K$36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31D0C8D-4420-4786-8E00-6F2B94FA615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350" name="BC$K$36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63FBE23-1AD6-4937-9754-274BBA76D9D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348" name="BC$K$36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5107A8AC-680B-4EB5-8809-D4C8A4BCF07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346" name="BC$K$36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DB3DF98-1702-4407-B28B-91ECD93DD0A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344" name="BC$K$36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8271D4A-BDC3-4B33-9B8A-D6BCCEAC13C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342" name="BC$K$36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F47F144-0975-438B-A5F1-136163A83DC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340" name="BC$K$36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05E03C6-12CB-406A-9F00-0FFB604044D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338" name="BC$K$36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CE7FEBC-D9F3-4A45-A382-5786FEDEA3C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336" name="BC$K$36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3839C72-0BA8-467B-9E2C-5CE73796A42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334" name="BC$K$36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E94A8A4-D944-4534-9D97-23712319CC9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332" name="BC$K$36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B21BCCE-AD46-4AE5-A16B-571D2F2FC111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330" name="BC$K$36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5006B36-61D0-4072-BF5E-431A6D895FA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328" name="BC$K$36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2C74359-8D4E-4C2A-837F-8E8AB0DB54C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326" name="BC$K$365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B59C1BB-5F0A-4D18-B80E-E33ED1C64F2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324" name="BC$K$365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C9AD3176-A3CF-44E6-A110-EF46736BBB2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322" name="BC$K$365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85CAEAC-7072-4E35-9202-9AC25D5FD822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323" name="BC$K$365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1274014-CBF2-4A7E-9498-1AD472682FA8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325" name="BC$K$365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4DFF0F2A-2B32-4DF7-9FA8-AB95481D1012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327" name="BC$K$365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3693141-25C8-420A-8CA5-A3B76C2B9B4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329" name="BC$K$365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69C3191-02A8-4737-8AB7-F2D5BC988B5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331" name="BC$K$365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98A3855-DA71-4539-AC06-F5B97B10D3A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333" name="BC$K$365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9644B90-0949-4B65-9216-73B2CAA3F54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335" name="BC$K$365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58C0718-F6A7-4544-8962-C6A5F91B186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337" name="BC$K$365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B4611C2-5544-45F8-9A48-E36A41F2375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339" name="BC$K$365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607D6E5-974A-4134-ABC7-599C4674B6D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341" name="BC$K$365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9BC5801-9002-49F2-9349-E6C918A9C51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343" name="BC$K$365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8137BC2-BFFC-49AE-8AA1-AD371B7BA5C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345" name="BC$K$365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82523AC-8343-43F9-9153-9F0BCA244A2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347" name="BC$K$365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88AA021-9C1E-4B15-AADF-4B5C2B96368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349" name="BC$K$365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77E38BD-FA2A-4520-AE3B-143509FA265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351" name="BC$K$365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110BE3A-455F-4A24-BE54-92F462F7484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353" name="BC$K$365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6B4506C-2CE7-4CCD-B1C9-47C35A4E0D9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355" name="BC$K$365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9052A52-86BD-4453-AA0B-EC6DB6182DD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357" name="BC$K$365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328D1E6-7763-4D1F-99B1-A54B08C153C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359" name="BC$K$365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3BC50CD-9F76-4584-96C9-5241D7C7F01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361" name="BC$K$365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4FAF174-C673-4B94-9831-FFDC6AF40424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363" name="BC$K$365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AC77E2D-70F4-4FD7-B751-67CA29FD2F97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365" name="BC$K$365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31BCFA2-FF71-4D21-A5F6-EDAED5B8A20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367" name="BC$K$365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3233F2F-B344-4499-8EE1-B08C737B5C84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369" name="BC$K$365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C8573E4-59DF-4250-8451-7A0483FC36E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371" name="BC$K$365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D221DC2-F9D0-4587-B43E-157ED3BF418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373" name="BC$K$365#BR26">
                                      <a:extLst>
                                        <a:ext uri="{FF2B5EF4-FFF2-40B4-BE49-F238E27FC236}">
                                          <a16:creationId xmlns:a16="http://schemas.microsoft.com/office/drawing/2014/main" id="{0AEF26F6-ACF3-426A-8654-31A66A0C646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375" name="BC$K$365#BR27">
                                    <a:extLst>
                                      <a:ext uri="{FF2B5EF4-FFF2-40B4-BE49-F238E27FC236}">
                                        <a16:creationId xmlns:a16="http://schemas.microsoft.com/office/drawing/2014/main" id="{7BA169F7-8F1E-46E9-8500-B5CB753FE30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377" name="BC$K$365#BR28">
                                  <a:extLst>
                                    <a:ext uri="{FF2B5EF4-FFF2-40B4-BE49-F238E27FC236}">
                                      <a16:creationId xmlns:a16="http://schemas.microsoft.com/office/drawing/2014/main" id="{704579C3-5F9D-411D-9266-63C858BB28D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379" name="BC$K$365#BR29">
                                <a:extLst>
                                  <a:ext uri="{FF2B5EF4-FFF2-40B4-BE49-F238E27FC236}">
                                    <a16:creationId xmlns:a16="http://schemas.microsoft.com/office/drawing/2014/main" id="{DFBDB017-227B-4471-9311-3AA44FE18DAD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381" name="BC$K$365#BR30">
                              <a:extLst>
                                <a:ext uri="{FF2B5EF4-FFF2-40B4-BE49-F238E27FC236}">
                                  <a16:creationId xmlns:a16="http://schemas.microsoft.com/office/drawing/2014/main" id="{BAD172E3-2206-49EB-B9B4-BFFAF43F01A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383" name="BC$K$365#BR31">
                            <a:extLst>
                              <a:ext uri="{FF2B5EF4-FFF2-40B4-BE49-F238E27FC236}">
                                <a16:creationId xmlns:a16="http://schemas.microsoft.com/office/drawing/2014/main" id="{25954775-E65C-464B-80AC-5BD17F545F4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385" name="BC$K$365#BR32">
                          <a:extLst>
                            <a:ext uri="{FF2B5EF4-FFF2-40B4-BE49-F238E27FC236}">
                              <a16:creationId xmlns:a16="http://schemas.microsoft.com/office/drawing/2014/main" id="{0F356F37-CE10-40FE-86AD-7EB620ED206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387" name="BC$K$365#BR33">
                        <a:extLst>
                          <a:ext uri="{FF2B5EF4-FFF2-40B4-BE49-F238E27FC236}">
                            <a16:creationId xmlns:a16="http://schemas.microsoft.com/office/drawing/2014/main" id="{C557828B-1AC8-415C-8C80-9F97E7564ED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389" name="BC$K$365#BR34">
                      <a:extLst>
                        <a:ext uri="{FF2B5EF4-FFF2-40B4-BE49-F238E27FC236}">
                          <a16:creationId xmlns:a16="http://schemas.microsoft.com/office/drawing/2014/main" id="{03702438-1356-42F0-99FB-3BD76E55A78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391" name="BC$K$365#BR35">
                    <a:extLst>
                      <a:ext uri="{FF2B5EF4-FFF2-40B4-BE49-F238E27FC236}">
                        <a16:creationId xmlns:a16="http://schemas.microsoft.com/office/drawing/2014/main" id="{8538A42E-8315-4BD5-A3C1-D947DBE2884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393" name="BC$K$365#BR36">
                  <a:extLst>
                    <a:ext uri="{FF2B5EF4-FFF2-40B4-BE49-F238E27FC236}">
                      <a16:creationId xmlns:a16="http://schemas.microsoft.com/office/drawing/2014/main" id="{5E569AB1-F3BC-47E0-B746-B2DED770DFD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395" name="BC$K$365#BR37">
                <a:extLst>
                  <a:ext uri="{FF2B5EF4-FFF2-40B4-BE49-F238E27FC236}">
                    <a16:creationId xmlns:a16="http://schemas.microsoft.com/office/drawing/2014/main" id="{13CC7A4A-09CD-4504-9D96-7B3F41B7AAE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397" name="BC$K$365#BR38">
              <a:extLst>
                <a:ext uri="{FF2B5EF4-FFF2-40B4-BE49-F238E27FC236}">
                  <a16:creationId xmlns:a16="http://schemas.microsoft.com/office/drawing/2014/main" id="{5B26A261-31AC-427E-A3A4-1E61062D1FE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399" name="BC$K$365#BR39">
            <a:extLst>
              <a:ext uri="{FF2B5EF4-FFF2-40B4-BE49-F238E27FC236}">
                <a16:creationId xmlns:a16="http://schemas.microsoft.com/office/drawing/2014/main" id="{7FCBCE9D-E8AE-4A49-9B31-C1B5FA0EEFD7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371</xdr:row>
      <xdr:rowOff>0</xdr:rowOff>
    </xdr:from>
    <xdr:to>
      <xdr:col>27</xdr:col>
      <xdr:colOff>209550</xdr:colOff>
      <xdr:row>373</xdr:row>
      <xdr:rowOff>0</xdr:rowOff>
    </xdr:to>
    <xdr:grpSp>
      <xdr:nvGrpSpPr>
        <xdr:cNvPr id="11479" name="BC$Y$365#GR">
          <a:extLst>
            <a:ext uri="{FF2B5EF4-FFF2-40B4-BE49-F238E27FC236}">
              <a16:creationId xmlns:a16="http://schemas.microsoft.com/office/drawing/2014/main" id="{874B639D-D9EA-4C09-8342-B1975BAC9B4E}"/>
            </a:ext>
          </a:extLst>
        </xdr:cNvPr>
        <xdr:cNvGrpSpPr/>
      </xdr:nvGrpSpPr>
      <xdr:grpSpPr>
        <a:xfrm>
          <a:off x="5791200" y="70580250"/>
          <a:ext cx="381000" cy="381000"/>
          <a:chOff x="0" y="0"/>
          <a:chExt cx="381000" cy="381000"/>
        </a:xfrm>
      </xdr:grpSpPr>
      <xdr:grpSp>
        <xdr:nvGrpSpPr>
          <xdr:cNvPr id="11477" name="BC$Y$365#GR">
            <a:extLst>
              <a:ext uri="{FF2B5EF4-FFF2-40B4-BE49-F238E27FC236}">
                <a16:creationId xmlns:a16="http://schemas.microsoft.com/office/drawing/2014/main" id="{67A3DB30-DAC4-4BE4-AAED-F9C25141E3D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475" name="BC$Y$365#GR">
              <a:extLst>
                <a:ext uri="{FF2B5EF4-FFF2-40B4-BE49-F238E27FC236}">
                  <a16:creationId xmlns:a16="http://schemas.microsoft.com/office/drawing/2014/main" id="{F588E3D4-CA58-48EA-BAB9-91BB7675F37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473" name="BC$Y$365#GR">
                <a:extLst>
                  <a:ext uri="{FF2B5EF4-FFF2-40B4-BE49-F238E27FC236}">
                    <a16:creationId xmlns:a16="http://schemas.microsoft.com/office/drawing/2014/main" id="{E6B004EF-F9E5-41DA-A5CF-B4357910C99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471" name="BC$Y$365#GR">
                  <a:extLst>
                    <a:ext uri="{FF2B5EF4-FFF2-40B4-BE49-F238E27FC236}">
                      <a16:creationId xmlns:a16="http://schemas.microsoft.com/office/drawing/2014/main" id="{87A9A0D9-C537-4774-A2DD-13E012EDCE8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469" name="BC$Y$365#GR">
                    <a:extLst>
                      <a:ext uri="{FF2B5EF4-FFF2-40B4-BE49-F238E27FC236}">
                        <a16:creationId xmlns:a16="http://schemas.microsoft.com/office/drawing/2014/main" id="{DBC8A231-B3E8-4006-B388-30B17516A05F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467" name="BC$Y$365#GR">
                      <a:extLst>
                        <a:ext uri="{FF2B5EF4-FFF2-40B4-BE49-F238E27FC236}">
                          <a16:creationId xmlns:a16="http://schemas.microsoft.com/office/drawing/2014/main" id="{89851819-DDDC-417F-84ED-491199E3D956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465" name="BC$Y$365#GR">
                        <a:extLst>
                          <a:ext uri="{FF2B5EF4-FFF2-40B4-BE49-F238E27FC236}">
                            <a16:creationId xmlns:a16="http://schemas.microsoft.com/office/drawing/2014/main" id="{C46D7B88-4930-421F-967F-82396001E6C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463" name="BC$Y$365#GR">
                          <a:extLst>
                            <a:ext uri="{FF2B5EF4-FFF2-40B4-BE49-F238E27FC236}">
                              <a16:creationId xmlns:a16="http://schemas.microsoft.com/office/drawing/2014/main" id="{0C2F4928-B3BA-4902-B32C-10F9CF8C37A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461" name="BC$Y$365#GR">
                            <a:extLst>
                              <a:ext uri="{FF2B5EF4-FFF2-40B4-BE49-F238E27FC236}">
                                <a16:creationId xmlns:a16="http://schemas.microsoft.com/office/drawing/2014/main" id="{63C0830B-3685-4702-A5A1-1C4DC863BDC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459" name="BC$Y$365#GR">
                              <a:extLst>
                                <a:ext uri="{FF2B5EF4-FFF2-40B4-BE49-F238E27FC236}">
                                  <a16:creationId xmlns:a16="http://schemas.microsoft.com/office/drawing/2014/main" id="{5F323CDE-51ED-4D48-B760-38E7A1895437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457" name="BC$Y$365#GR">
                                <a:extLst>
                                  <a:ext uri="{FF2B5EF4-FFF2-40B4-BE49-F238E27FC236}">
                                    <a16:creationId xmlns:a16="http://schemas.microsoft.com/office/drawing/2014/main" id="{E4C32719-4239-49DD-AD7D-4858E854136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455" name="BC$Y$365#GR">
                                  <a:extLst>
                                    <a:ext uri="{FF2B5EF4-FFF2-40B4-BE49-F238E27FC236}">
                                      <a16:creationId xmlns:a16="http://schemas.microsoft.com/office/drawing/2014/main" id="{29707F8A-5480-4652-B87A-FBB2F589A5F4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453" name="BC$Y$365#GR">
                                    <a:extLst>
                                      <a:ext uri="{FF2B5EF4-FFF2-40B4-BE49-F238E27FC236}">
                                        <a16:creationId xmlns:a16="http://schemas.microsoft.com/office/drawing/2014/main" id="{667967FA-B39F-48C8-8AD3-269F2A17118B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451" name="BC$Y$365#GR">
                                      <a:extLst>
                                        <a:ext uri="{FF2B5EF4-FFF2-40B4-BE49-F238E27FC236}">
                                          <a16:creationId xmlns:a16="http://schemas.microsoft.com/office/drawing/2014/main" id="{EF0EF346-37A5-4935-B30C-81AD51FB239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449" name="BC$Y$36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1AB95EC-E4CD-4FA7-B929-59BCAF7265AE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447" name="BC$Y$36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999BE6E-02E1-4756-A970-AD7C945E110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445" name="BC$Y$36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D3846AA-7508-4C77-8680-36930FA35E0E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443" name="BC$Y$36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80822EC-E796-4056-B92D-3079E3F29D1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441" name="BC$Y$36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54A84E7-037F-46DA-978F-4FEC05F444FB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439" name="BC$Y$36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604E4A1-76F8-4A8D-B91F-6148BE4E3B9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437" name="BC$Y$36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064CEE3-7766-466A-A919-060098A36F3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435" name="BC$Y$36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8C8E134-9E05-46C2-B8D4-E4E076A7A79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433" name="BC$Y$36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0A78460-7025-455D-A102-99DC3184B4D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431" name="BC$Y$36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3A83203-768F-4046-A196-A0E5DE41133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429" name="BC$Y$36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5F2AB87F-624A-491B-8FF4-9268320107C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427" name="BC$Y$36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8F80EB5-82F4-477C-8B9F-E1D14DA9809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425" name="BC$Y$36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40E362A8-F926-4A83-BA2E-D2ACDE188B8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423" name="BC$Y$36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A66FC76-80EB-428C-B841-3479CC70941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421" name="BC$Y$36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090E404-7B2F-4475-BC29-2C3B78F2A97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419" name="BC$Y$36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D45C953-C353-44D9-93EA-31909826FD8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417" name="BC$Y$36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F60F2A2-A51D-46B7-A6E7-37BAF869AA8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415" name="BC$Y$36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264B2677-661A-4B32-ADC2-5FD579C12E4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413" name="BC$Y$36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D49EED0-AD67-445A-BE45-22ACC82335D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411" name="BC$Y$36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DFA9D19-2EB1-4DE1-B0E3-C70019D91631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409" name="BC$Y$36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C804EB4-1213-40B4-8B59-54F2446C957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407" name="BC$Y$36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EA47091-2EBB-4642-A071-2AB2B71944F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405" name="BC$Y$365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31415E2-D040-4C16-9180-B7DCD70D6D9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403" name="BC$Y$365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9B305D83-A386-442C-BFEE-D7E6EFC49E2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401" name="BC$Y$365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FB2F876-E1A0-4B1D-86CF-A5769FD18D7F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402" name="BC$Y$365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C248E904-D185-492A-89BD-9F016566497E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404" name="BC$Y$365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986DC20-C1B0-446B-8F2D-A1B34B7768F1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406" name="BC$Y$365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19D0F21-98E9-4BE4-95EB-859D803D5F2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408" name="BC$Y$365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C53FB25-909D-44C1-802B-EE2C95F951B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410" name="BC$Y$365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78D6C37-1B7F-4993-AD06-D2494FAAAA3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412" name="BC$Y$365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92F19A4-92A8-45D9-AEC3-A95DA42C7B3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414" name="BC$Y$365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47DF462-191D-409E-BEBD-0DAC9E1380B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416" name="BC$Y$365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09884D5-77EC-4645-8C3D-AB0094F167B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418" name="BC$Y$365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526BE1C-D00D-4687-8472-026E41CEBBB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420" name="BC$Y$365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6B6CFE6-27DE-4830-AD51-20A2EE2344A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422" name="BC$Y$365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8958ABB9-BF23-4EC8-A63F-3EA84F62233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424" name="BC$Y$365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D423CCB-5208-4694-86F6-3119AE2CEF6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426" name="BC$Y$365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A4B24FD-A10A-4173-A22A-BE0F32C43B0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428" name="BC$Y$365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09E9DEE-8650-4B56-9A8F-2A88DE2D91E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430" name="BC$Y$365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4122853-6E61-4815-AB27-AE2F6BFFE67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432" name="BC$Y$365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B1C3170-5405-4F44-A78A-644E4387A1E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434" name="BC$Y$365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10740CD-9C77-4743-998C-5F1C9E7BFDA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436" name="BC$Y$365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F19F400-E991-4FAB-94C5-4A9790AA115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438" name="BC$Y$365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4BF657B-0D49-4177-808E-93A472F3B733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440" name="BC$Y$365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FB7BEBA-7BB1-4639-8F7E-8C6D4238D44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442" name="BC$Y$365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2FAE66B-A322-4BF2-BA1F-4E7E67D15BA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444" name="BC$Y$365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CD11BAD-ABC4-4692-BA97-25E590CB54F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446" name="BC$Y$365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3C0E875-0F2A-45EF-AB0B-90B44004490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448" name="BC$Y$365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D8E85F9-1093-46DD-ABBC-4CFF0E56BBE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450" name="BC$Y$365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0D4A097-0896-4061-BB8D-2558C3992BB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452" name="BC$Y$365#BR26">
                                      <a:extLst>
                                        <a:ext uri="{FF2B5EF4-FFF2-40B4-BE49-F238E27FC236}">
                                          <a16:creationId xmlns:a16="http://schemas.microsoft.com/office/drawing/2014/main" id="{D09CDC42-908C-4D20-86FC-BF8F609AF38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454" name="BC$Y$365#BR27">
                                    <a:extLst>
                                      <a:ext uri="{FF2B5EF4-FFF2-40B4-BE49-F238E27FC236}">
                                        <a16:creationId xmlns:a16="http://schemas.microsoft.com/office/drawing/2014/main" id="{E5F12126-8476-4D7D-BEA5-2EEE0AAB0EE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456" name="BC$Y$365#BR28">
                                  <a:extLst>
                                    <a:ext uri="{FF2B5EF4-FFF2-40B4-BE49-F238E27FC236}">
                                      <a16:creationId xmlns:a16="http://schemas.microsoft.com/office/drawing/2014/main" id="{3D5464DC-AC7B-4A03-97E8-8FD733AF181C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458" name="BC$Y$365#BR29">
                                <a:extLst>
                                  <a:ext uri="{FF2B5EF4-FFF2-40B4-BE49-F238E27FC236}">
                                    <a16:creationId xmlns:a16="http://schemas.microsoft.com/office/drawing/2014/main" id="{516673BE-A14C-4833-9ACF-8AB98862394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460" name="BC$Y$365#BR30">
                              <a:extLst>
                                <a:ext uri="{FF2B5EF4-FFF2-40B4-BE49-F238E27FC236}">
                                  <a16:creationId xmlns:a16="http://schemas.microsoft.com/office/drawing/2014/main" id="{52588FBA-1320-4D69-8C19-8D6023366D7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462" name="BC$Y$365#BR31">
                            <a:extLst>
                              <a:ext uri="{FF2B5EF4-FFF2-40B4-BE49-F238E27FC236}">
                                <a16:creationId xmlns:a16="http://schemas.microsoft.com/office/drawing/2014/main" id="{F294317C-5C1F-4AA8-9FBE-24C819C1A46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464" name="BC$Y$365#BR32">
                          <a:extLst>
                            <a:ext uri="{FF2B5EF4-FFF2-40B4-BE49-F238E27FC236}">
                              <a16:creationId xmlns:a16="http://schemas.microsoft.com/office/drawing/2014/main" id="{ADF82456-BB4A-4759-94BF-F5D85AE8D73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466" name="BC$Y$365#BR33">
                        <a:extLst>
                          <a:ext uri="{FF2B5EF4-FFF2-40B4-BE49-F238E27FC236}">
                            <a16:creationId xmlns:a16="http://schemas.microsoft.com/office/drawing/2014/main" id="{4E816C15-D801-4C78-B28C-1425ECD26BE1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468" name="BC$Y$365#BR34">
                      <a:extLst>
                        <a:ext uri="{FF2B5EF4-FFF2-40B4-BE49-F238E27FC236}">
                          <a16:creationId xmlns:a16="http://schemas.microsoft.com/office/drawing/2014/main" id="{7E380C71-1499-4008-A79A-657D68D9645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470" name="BC$Y$365#BR35">
                    <a:extLst>
                      <a:ext uri="{FF2B5EF4-FFF2-40B4-BE49-F238E27FC236}">
                        <a16:creationId xmlns:a16="http://schemas.microsoft.com/office/drawing/2014/main" id="{F5866B27-1762-44D1-BCF5-8FD28F519FDF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472" name="BC$Y$365#BR36">
                  <a:extLst>
                    <a:ext uri="{FF2B5EF4-FFF2-40B4-BE49-F238E27FC236}">
                      <a16:creationId xmlns:a16="http://schemas.microsoft.com/office/drawing/2014/main" id="{074A5AD6-AFA0-4EAE-8746-285AE6F807E7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474" name="BC$Y$365#BR37">
                <a:extLst>
                  <a:ext uri="{FF2B5EF4-FFF2-40B4-BE49-F238E27FC236}">
                    <a16:creationId xmlns:a16="http://schemas.microsoft.com/office/drawing/2014/main" id="{7E9C969C-68EB-42FE-9B0C-975537320346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476" name="BC$Y$365#BR38">
              <a:extLst>
                <a:ext uri="{FF2B5EF4-FFF2-40B4-BE49-F238E27FC236}">
                  <a16:creationId xmlns:a16="http://schemas.microsoft.com/office/drawing/2014/main" id="{8AF0866D-83AA-4C03-ABB7-B46B620A78DF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478" name="BC$Y$365#BR39">
            <a:extLst>
              <a:ext uri="{FF2B5EF4-FFF2-40B4-BE49-F238E27FC236}">
                <a16:creationId xmlns:a16="http://schemas.microsoft.com/office/drawing/2014/main" id="{644492CB-CB3C-40E2-B75B-926A12775D3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382</xdr:row>
      <xdr:rowOff>9525</xdr:rowOff>
    </xdr:from>
    <xdr:to>
      <xdr:col>27</xdr:col>
      <xdr:colOff>190500</xdr:colOff>
      <xdr:row>384</xdr:row>
      <xdr:rowOff>9525</xdr:rowOff>
    </xdr:to>
    <xdr:grpSp>
      <xdr:nvGrpSpPr>
        <xdr:cNvPr id="11558" name="BC$Y$376#GR">
          <a:extLst>
            <a:ext uri="{FF2B5EF4-FFF2-40B4-BE49-F238E27FC236}">
              <a16:creationId xmlns:a16="http://schemas.microsoft.com/office/drawing/2014/main" id="{DF14F734-B026-4339-902A-13ADA922775F}"/>
            </a:ext>
          </a:extLst>
        </xdr:cNvPr>
        <xdr:cNvGrpSpPr/>
      </xdr:nvGrpSpPr>
      <xdr:grpSpPr>
        <a:xfrm>
          <a:off x="5772150" y="72685275"/>
          <a:ext cx="381000" cy="381000"/>
          <a:chOff x="0" y="0"/>
          <a:chExt cx="381000" cy="381000"/>
        </a:xfrm>
      </xdr:grpSpPr>
      <xdr:grpSp>
        <xdr:nvGrpSpPr>
          <xdr:cNvPr id="11556" name="BC$Y$376#GR">
            <a:extLst>
              <a:ext uri="{FF2B5EF4-FFF2-40B4-BE49-F238E27FC236}">
                <a16:creationId xmlns:a16="http://schemas.microsoft.com/office/drawing/2014/main" id="{FA501525-D38B-47CB-813F-D767395775A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554" name="BC$Y$376#GR">
              <a:extLst>
                <a:ext uri="{FF2B5EF4-FFF2-40B4-BE49-F238E27FC236}">
                  <a16:creationId xmlns:a16="http://schemas.microsoft.com/office/drawing/2014/main" id="{9AC0DB8E-A6AD-4E47-92E4-2B833F74C4BA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552" name="BC$Y$376#GR">
                <a:extLst>
                  <a:ext uri="{FF2B5EF4-FFF2-40B4-BE49-F238E27FC236}">
                    <a16:creationId xmlns:a16="http://schemas.microsoft.com/office/drawing/2014/main" id="{36B1AE58-215B-4DB7-BE00-15AD47409BF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550" name="BC$Y$376#GR">
                  <a:extLst>
                    <a:ext uri="{FF2B5EF4-FFF2-40B4-BE49-F238E27FC236}">
                      <a16:creationId xmlns:a16="http://schemas.microsoft.com/office/drawing/2014/main" id="{C10A0A7B-A498-4D30-B967-0CE63AF1D764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548" name="BC$Y$376#GR">
                    <a:extLst>
                      <a:ext uri="{FF2B5EF4-FFF2-40B4-BE49-F238E27FC236}">
                        <a16:creationId xmlns:a16="http://schemas.microsoft.com/office/drawing/2014/main" id="{050D47A6-A4F1-46CC-9DC1-A91C1CEA85C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546" name="BC$Y$376#GR">
                      <a:extLst>
                        <a:ext uri="{FF2B5EF4-FFF2-40B4-BE49-F238E27FC236}">
                          <a16:creationId xmlns:a16="http://schemas.microsoft.com/office/drawing/2014/main" id="{6048B976-BF95-468F-A124-4B2ACB9EA36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544" name="BC$Y$376#GR">
                        <a:extLst>
                          <a:ext uri="{FF2B5EF4-FFF2-40B4-BE49-F238E27FC236}">
                            <a16:creationId xmlns:a16="http://schemas.microsoft.com/office/drawing/2014/main" id="{8A076BC6-103B-4BCF-8295-627327463B9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542" name="BC$Y$376#GR">
                          <a:extLst>
                            <a:ext uri="{FF2B5EF4-FFF2-40B4-BE49-F238E27FC236}">
                              <a16:creationId xmlns:a16="http://schemas.microsoft.com/office/drawing/2014/main" id="{265CD508-EA1E-4B07-9B50-74035550E29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540" name="BC$Y$376#GR">
                            <a:extLst>
                              <a:ext uri="{FF2B5EF4-FFF2-40B4-BE49-F238E27FC236}">
                                <a16:creationId xmlns:a16="http://schemas.microsoft.com/office/drawing/2014/main" id="{66CC30E0-0482-40A2-8A66-86796701EA01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538" name="BC$Y$376#GR">
                              <a:extLst>
                                <a:ext uri="{FF2B5EF4-FFF2-40B4-BE49-F238E27FC236}">
                                  <a16:creationId xmlns:a16="http://schemas.microsoft.com/office/drawing/2014/main" id="{0638282C-F81C-48F7-AB37-B6C85B4F5FF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536" name="BC$Y$376#GR">
                                <a:extLst>
                                  <a:ext uri="{FF2B5EF4-FFF2-40B4-BE49-F238E27FC236}">
                                    <a16:creationId xmlns:a16="http://schemas.microsoft.com/office/drawing/2014/main" id="{20CFF4B8-FF10-4F68-97AF-B25DBD452C9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534" name="BC$Y$376#GR">
                                  <a:extLst>
                                    <a:ext uri="{FF2B5EF4-FFF2-40B4-BE49-F238E27FC236}">
                                      <a16:creationId xmlns:a16="http://schemas.microsoft.com/office/drawing/2014/main" id="{2B833A68-5C92-4AE6-BD32-7368CC8EE5B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532" name="BC$Y$376#GR">
                                    <a:extLst>
                                      <a:ext uri="{FF2B5EF4-FFF2-40B4-BE49-F238E27FC236}">
                                        <a16:creationId xmlns:a16="http://schemas.microsoft.com/office/drawing/2014/main" id="{432FC5E7-3C17-4649-A14D-B4E4634240A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530" name="BC$Y$376#GR">
                                      <a:extLst>
                                        <a:ext uri="{FF2B5EF4-FFF2-40B4-BE49-F238E27FC236}">
                                          <a16:creationId xmlns:a16="http://schemas.microsoft.com/office/drawing/2014/main" id="{D580DC31-E67F-4C6A-A2B4-BB3001D097F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528" name="BC$Y$37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30C6B28-F9F0-4027-A093-8648CA943895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526" name="BC$Y$37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DFAAB48-887E-4985-9817-AE6D9F387F3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524" name="BC$Y$37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45F2D79-2B94-4870-85A0-BEB4ED0C0691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522" name="BC$Y$37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5FBC510-761C-4DC1-9265-6E031CEA8ACA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520" name="BC$Y$37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66FA856-85CA-4356-B2F9-C3C0C4AA986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518" name="BC$Y$37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2693BE8-4C2A-46B4-91ED-67A82AF5548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516" name="BC$Y$37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0875DAF-4CC0-4E75-8F25-41825EBEAFBB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514" name="BC$Y$37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393021F-8139-4744-ACDC-AFED2E0025C6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512" name="BC$Y$37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8416F1A-97F7-474D-9F2A-B78A58AE904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510" name="BC$Y$37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456ECE2-FA09-43B3-AC5C-0A5B13118349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508" name="BC$Y$37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571C797-CA91-4167-B0B9-28E62E9395F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506" name="BC$Y$37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54359BC8-AFA7-4780-9BEB-08854992FE7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504" name="BC$Y$37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22E080D-7DB3-4412-91A1-4FCC5EBCCEF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502" name="BC$Y$37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DBF04EB-DD3C-4E72-95C2-A2430C419AA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500" name="BC$Y$37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9DCCC57-3669-4B03-9B58-0342A4C920A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498" name="BC$Y$37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7D409A2-6C74-4053-A0CD-0F731B0C9FB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496" name="BC$Y$37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2A49B90-3458-48BA-9E20-5B6A18F589C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494" name="BC$Y$37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34D9F05-0737-4149-B277-290A0A1660D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492" name="BC$Y$37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855322B-C54B-447A-A820-2EBF75CCBB2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490" name="BC$Y$37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65826D3-9A72-4FD1-B032-79DE849E280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488" name="BC$Y$37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5CD041F-ADA6-4074-91BD-F82FCCEEF8E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486" name="BC$Y$37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81EA1FF-01FA-4C8C-906B-6DA31A4631E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484" name="BC$Y$376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DB7608F-9DAE-443F-8EBF-C21A78C1F66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482" name="BC$Y$376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584F8DA-A6BE-433A-BEB5-CAC758A78B5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480" name="BC$Y$376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C41D993-5B26-4869-9BE1-D140ED0BBB28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481" name="BC$Y$376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5F492E51-42F3-4A34-8C3D-B2F75A7CB04B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483" name="BC$Y$376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9B538DB9-88FB-473A-B30E-3523BF2D6666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485" name="BC$Y$376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41A8102-4ECF-4302-AE98-B91D71A0251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487" name="BC$Y$376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C0DB270-0739-4049-A312-A8F6A8DCCA1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489" name="BC$Y$376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2C23E11-F2AC-42EA-87E0-74996ECA2A0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491" name="BC$Y$376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36A1AF0-DCD8-4BC0-9994-66130DF875D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493" name="BC$Y$376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08DDAF6-C3A2-4BA1-8913-E03A45CF4FD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495" name="BC$Y$376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4FFF13A-31AE-4222-A280-12BDCDAA5F0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497" name="BC$Y$376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C0B5FD2-372E-487F-B2AB-3E2040747A1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499" name="BC$Y$376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202E84C-4233-4BD5-B35F-F7942F93562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501" name="BC$Y$376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6BD3F66-C913-439E-A12A-08DE40D79D2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503" name="BC$Y$376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AFAD6C7-361C-41D6-84AA-461FF21025C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505" name="BC$Y$376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5E0BC2E-1009-4E50-AF78-6C4FC659E7A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507" name="BC$Y$376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345E71F-EF56-4C9F-BBDA-63E2A737F05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509" name="BC$Y$376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011E1DA-F3D9-46CA-B56E-95C336C9DD2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511" name="BC$Y$376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A661843-AAA9-4395-9321-3F0EAF0B101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513" name="BC$Y$376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8161FB5-BAF8-4E9F-9E04-C939EE46D24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515" name="BC$Y$376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3D0070F-4350-46D1-BD3E-3E45938ED932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517" name="BC$Y$376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0ED569D-DF77-495B-BFFE-6AEC902EEA8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519" name="BC$Y$376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993FD02-08B1-4F97-A577-D5A530F756E4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521" name="BC$Y$376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B4D440A-BBBF-41A7-8DF6-8F31BBCF7F4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523" name="BC$Y$376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45100DA-DA29-4009-AB14-DB5B7940691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525" name="BC$Y$376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8ACF28A-1F82-481E-9221-3DEC1970687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527" name="BC$Y$376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ED8C9BF-5E40-4287-9595-DAA36DC0B84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529" name="BC$Y$376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F326B82-388B-449E-9F19-5654CFD411B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531" name="BC$Y$376#BR26">
                                      <a:extLst>
                                        <a:ext uri="{FF2B5EF4-FFF2-40B4-BE49-F238E27FC236}">
                                          <a16:creationId xmlns:a16="http://schemas.microsoft.com/office/drawing/2014/main" id="{EB1CE8CF-E3B7-4909-808B-95B0A6B3C17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533" name="BC$Y$376#BR27">
                                    <a:extLst>
                                      <a:ext uri="{FF2B5EF4-FFF2-40B4-BE49-F238E27FC236}">
                                        <a16:creationId xmlns:a16="http://schemas.microsoft.com/office/drawing/2014/main" id="{C45C57AE-2162-4845-B619-9A85AE89F3D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535" name="BC$Y$376#BR28">
                                  <a:extLst>
                                    <a:ext uri="{FF2B5EF4-FFF2-40B4-BE49-F238E27FC236}">
                                      <a16:creationId xmlns:a16="http://schemas.microsoft.com/office/drawing/2014/main" id="{6846D0B6-1FB3-461B-856B-D46C058ADDF3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537" name="BC$Y$376#BR29">
                                <a:extLst>
                                  <a:ext uri="{FF2B5EF4-FFF2-40B4-BE49-F238E27FC236}">
                                    <a16:creationId xmlns:a16="http://schemas.microsoft.com/office/drawing/2014/main" id="{BC671D1C-FB22-4048-BD4E-0F31BE1EEB1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539" name="BC$Y$376#BR30">
                              <a:extLst>
                                <a:ext uri="{FF2B5EF4-FFF2-40B4-BE49-F238E27FC236}">
                                  <a16:creationId xmlns:a16="http://schemas.microsoft.com/office/drawing/2014/main" id="{8A0CAA72-EA78-4D35-BBA9-88FF39211D6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541" name="BC$Y$376#BR31">
                            <a:extLst>
                              <a:ext uri="{FF2B5EF4-FFF2-40B4-BE49-F238E27FC236}">
                                <a16:creationId xmlns:a16="http://schemas.microsoft.com/office/drawing/2014/main" id="{AB5609FA-2FF3-453D-9E6A-86274D52BF0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543" name="BC$Y$376#BR32">
                          <a:extLst>
                            <a:ext uri="{FF2B5EF4-FFF2-40B4-BE49-F238E27FC236}">
                              <a16:creationId xmlns:a16="http://schemas.microsoft.com/office/drawing/2014/main" id="{AB35311D-D880-4FAC-8E14-5FE21697527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545" name="BC$Y$376#BR33">
                        <a:extLst>
                          <a:ext uri="{FF2B5EF4-FFF2-40B4-BE49-F238E27FC236}">
                            <a16:creationId xmlns:a16="http://schemas.microsoft.com/office/drawing/2014/main" id="{C49401B8-20A0-4190-8045-6AACA352F826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547" name="BC$Y$376#BR34">
                      <a:extLst>
                        <a:ext uri="{FF2B5EF4-FFF2-40B4-BE49-F238E27FC236}">
                          <a16:creationId xmlns:a16="http://schemas.microsoft.com/office/drawing/2014/main" id="{39D8C256-873B-4804-84CA-27F1A241D34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549" name="BC$Y$376#BR35">
                    <a:extLst>
                      <a:ext uri="{FF2B5EF4-FFF2-40B4-BE49-F238E27FC236}">
                        <a16:creationId xmlns:a16="http://schemas.microsoft.com/office/drawing/2014/main" id="{119BD268-A02D-45A7-B9F0-ADAEE598982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551" name="BC$Y$376#BR36">
                  <a:extLst>
                    <a:ext uri="{FF2B5EF4-FFF2-40B4-BE49-F238E27FC236}">
                      <a16:creationId xmlns:a16="http://schemas.microsoft.com/office/drawing/2014/main" id="{8C19E39C-4F73-4E07-B200-8D41EA2BF110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553" name="BC$Y$376#BR37">
                <a:extLst>
                  <a:ext uri="{FF2B5EF4-FFF2-40B4-BE49-F238E27FC236}">
                    <a16:creationId xmlns:a16="http://schemas.microsoft.com/office/drawing/2014/main" id="{A3862446-7689-4A1E-9CB9-ACFB3A863CE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555" name="BC$Y$376#BR38">
              <a:extLst>
                <a:ext uri="{FF2B5EF4-FFF2-40B4-BE49-F238E27FC236}">
                  <a16:creationId xmlns:a16="http://schemas.microsoft.com/office/drawing/2014/main" id="{86F6CC9D-07B9-421A-9B7D-E39BA4C71A7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557" name="BC$Y$376#BR39">
            <a:extLst>
              <a:ext uri="{FF2B5EF4-FFF2-40B4-BE49-F238E27FC236}">
                <a16:creationId xmlns:a16="http://schemas.microsoft.com/office/drawing/2014/main" id="{A928A1E2-7012-41CE-9360-7B9377F62F6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382</xdr:row>
      <xdr:rowOff>0</xdr:rowOff>
    </xdr:from>
    <xdr:to>
      <xdr:col>13</xdr:col>
      <xdr:colOff>209550</xdr:colOff>
      <xdr:row>384</xdr:row>
      <xdr:rowOff>0</xdr:rowOff>
    </xdr:to>
    <xdr:grpSp>
      <xdr:nvGrpSpPr>
        <xdr:cNvPr id="11637" name="BC$K$376#GR">
          <a:extLst>
            <a:ext uri="{FF2B5EF4-FFF2-40B4-BE49-F238E27FC236}">
              <a16:creationId xmlns:a16="http://schemas.microsoft.com/office/drawing/2014/main" id="{FA98AA59-4653-4A68-881D-4454C91E935A}"/>
            </a:ext>
          </a:extLst>
        </xdr:cNvPr>
        <xdr:cNvGrpSpPr/>
      </xdr:nvGrpSpPr>
      <xdr:grpSpPr>
        <a:xfrm>
          <a:off x="2676525" y="72675750"/>
          <a:ext cx="381000" cy="381000"/>
          <a:chOff x="0" y="0"/>
          <a:chExt cx="381000" cy="381000"/>
        </a:xfrm>
      </xdr:grpSpPr>
      <xdr:grpSp>
        <xdr:nvGrpSpPr>
          <xdr:cNvPr id="11635" name="BC$K$376#GR">
            <a:extLst>
              <a:ext uri="{FF2B5EF4-FFF2-40B4-BE49-F238E27FC236}">
                <a16:creationId xmlns:a16="http://schemas.microsoft.com/office/drawing/2014/main" id="{103569DB-6F88-4FF8-BEDF-0A5887D1C96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1633" name="BC$K$376#GR">
              <a:extLst>
                <a:ext uri="{FF2B5EF4-FFF2-40B4-BE49-F238E27FC236}">
                  <a16:creationId xmlns:a16="http://schemas.microsoft.com/office/drawing/2014/main" id="{A0A71DC6-7494-4913-A89F-83E0AD4C02B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1631" name="BC$K$376#GR">
                <a:extLst>
                  <a:ext uri="{FF2B5EF4-FFF2-40B4-BE49-F238E27FC236}">
                    <a16:creationId xmlns:a16="http://schemas.microsoft.com/office/drawing/2014/main" id="{F49C29F3-D889-4827-A995-769947C24AD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1629" name="BC$K$376#GR">
                  <a:extLst>
                    <a:ext uri="{FF2B5EF4-FFF2-40B4-BE49-F238E27FC236}">
                      <a16:creationId xmlns:a16="http://schemas.microsoft.com/office/drawing/2014/main" id="{1454CE1B-CAA5-4EF3-8C4C-D0987BF7693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1627" name="BC$K$376#GR">
                    <a:extLst>
                      <a:ext uri="{FF2B5EF4-FFF2-40B4-BE49-F238E27FC236}">
                        <a16:creationId xmlns:a16="http://schemas.microsoft.com/office/drawing/2014/main" id="{1F884834-C16F-4862-B221-7592A5A3DD8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1625" name="BC$K$376#GR">
                      <a:extLst>
                        <a:ext uri="{FF2B5EF4-FFF2-40B4-BE49-F238E27FC236}">
                          <a16:creationId xmlns:a16="http://schemas.microsoft.com/office/drawing/2014/main" id="{15C86F75-627A-42D0-8C96-941A7E672C2F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1623" name="BC$K$376#GR">
                        <a:extLst>
                          <a:ext uri="{FF2B5EF4-FFF2-40B4-BE49-F238E27FC236}">
                            <a16:creationId xmlns:a16="http://schemas.microsoft.com/office/drawing/2014/main" id="{B3B2894E-B105-4DC1-97F0-16E6FBF97D1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1621" name="BC$K$376#GR">
                          <a:extLst>
                            <a:ext uri="{FF2B5EF4-FFF2-40B4-BE49-F238E27FC236}">
                              <a16:creationId xmlns:a16="http://schemas.microsoft.com/office/drawing/2014/main" id="{345B994C-A96B-480A-9DCB-418D7496C7D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1619" name="BC$K$376#GR">
                            <a:extLst>
                              <a:ext uri="{FF2B5EF4-FFF2-40B4-BE49-F238E27FC236}">
                                <a16:creationId xmlns:a16="http://schemas.microsoft.com/office/drawing/2014/main" id="{DC85279B-30DA-427A-9296-616BD482F44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1617" name="BC$K$376#GR">
                              <a:extLst>
                                <a:ext uri="{FF2B5EF4-FFF2-40B4-BE49-F238E27FC236}">
                                  <a16:creationId xmlns:a16="http://schemas.microsoft.com/office/drawing/2014/main" id="{AF9763BB-66BF-49DD-84FA-CE7F1B2D39B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1615" name="BC$K$376#GR">
                                <a:extLst>
                                  <a:ext uri="{FF2B5EF4-FFF2-40B4-BE49-F238E27FC236}">
                                    <a16:creationId xmlns:a16="http://schemas.microsoft.com/office/drawing/2014/main" id="{31A5D33E-E226-497C-9BC6-84B61D2E72D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1613" name="BC$K$376#GR">
                                  <a:extLst>
                                    <a:ext uri="{FF2B5EF4-FFF2-40B4-BE49-F238E27FC236}">
                                      <a16:creationId xmlns:a16="http://schemas.microsoft.com/office/drawing/2014/main" id="{9B31AB42-A5DE-4765-8783-CB76671A165C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1611" name="BC$K$376#GR">
                                    <a:extLst>
                                      <a:ext uri="{FF2B5EF4-FFF2-40B4-BE49-F238E27FC236}">
                                        <a16:creationId xmlns:a16="http://schemas.microsoft.com/office/drawing/2014/main" id="{7CB418D9-8185-4B9A-A264-23DDBBBE398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1609" name="BC$K$376#GR">
                                      <a:extLst>
                                        <a:ext uri="{FF2B5EF4-FFF2-40B4-BE49-F238E27FC236}">
                                          <a16:creationId xmlns:a16="http://schemas.microsoft.com/office/drawing/2014/main" id="{96230581-01E8-40F1-A076-D81EADE208F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1607" name="BC$K$37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567B625-F882-4DD6-BBE7-016850273B0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1605" name="BC$K$37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0BF5B05-DB33-4DD9-BAD0-08110018859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1603" name="BC$K$37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91121A5-5AE0-4B90-9FB5-37F7E00661E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1601" name="BC$K$37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6835F39-AFC5-42E9-8E49-B2D8054E3C24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1599" name="BC$K$37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2AE6BD7-9400-474C-ACF3-377D12DECB7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1597" name="BC$K$37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90E7E54-0979-44E3-8830-D0C768A259E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1595" name="BC$K$37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38ADC745-4F22-4D3B-8898-117D0DCE6D77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1593" name="BC$K$37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54D60B2-E340-46AD-AFFB-7B743B103C6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1591" name="BC$K$37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F723328-F952-4734-B29A-9AC1BF2D5DBF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1589" name="BC$K$37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4C02DD4-5620-407B-88FE-C97B1107233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1587" name="BC$K$37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C268F6F-AC06-43AE-8C43-7FCA9936317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1585" name="BC$K$37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D0ADD61-059A-4A6E-B61C-8F8DA839D83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1583" name="BC$K$37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226EF23-C98F-4D64-B1E8-F30CD6F216E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1581" name="BC$K$37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1DE30E3-9AE9-4DA6-BDF9-18A23F02552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1579" name="BC$K$37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8D2376B1-E47D-4DC9-B92F-0B364BEB6E1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1577" name="BC$K$37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3608F6F-F92D-485E-BC92-56917A11525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1575" name="BC$K$37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FD1EF57-19B9-46CE-A9FE-26731560D24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1573" name="BC$K$37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DADBA4D-BD5C-4024-8B83-CAFA5CFA359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1571" name="BC$K$37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D2FE8ED-92F0-4317-B19B-DB2F00E2488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1569" name="BC$K$37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C81786D-2852-4E28-BFA3-84EBA2ED2B8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1567" name="BC$K$37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8076487-32A8-4016-88F1-C5F076242B7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1565" name="BC$K$37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34AF3CA-3C54-4D17-9E10-DDA96837D6D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1563" name="BC$K$376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D683E76-D73A-4C39-88DB-A08EB6F0BEE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1561" name="BC$K$376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9D728288-BDBE-43EA-9486-E3E146DA2E12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559" name="BC$K$376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38ACAC7-9331-43A1-A81F-713C13E8687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1560" name="BC$K$376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B232EB0-28EF-4124-B8AB-51980DEC201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1562" name="BC$K$376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726F5A4-0E7E-417C-A0B4-244221A1ED4B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1564" name="BC$K$376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DEF9920-AEB9-440D-B439-4540611646D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1566" name="BC$K$376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AEE3FBD-BA59-4561-85C8-2EF06A5DD9B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568" name="BC$K$376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2D2CF22-99D7-4880-A598-C7A81F33FE9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1570" name="BC$K$376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246C46D-5765-4E30-8412-BD3F26975D2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1572" name="BC$K$376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E615F7A-3F1C-4582-8D14-4E0868B2C2F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1574" name="BC$K$376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6D944D3-6A09-496C-85DB-C852A4D263C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1576" name="BC$K$376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415D678-1A14-4EB2-A7CD-80620E038B5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1578" name="BC$K$376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E27353B-40BC-4527-8E73-6FFED9FE445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1580" name="BC$K$376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821BB17-3E04-49F0-9E22-AC8E32F83C8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1582" name="BC$K$376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9DAFE47-CEA5-4A45-9433-97C4CC41B06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1584" name="BC$K$376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0BC04DD-C540-48DF-80C0-FF96A1FB60D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1586" name="BC$K$376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72B5C04-BE0E-41A4-82B3-77852364AAF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1588" name="BC$K$376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EFF6E1E-1E0D-41E6-B604-C7A4DEAD388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1590" name="BC$K$376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B3911CB-ED8F-468B-8262-9E999D78616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1592" name="BC$K$376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2A8AE7C-61C8-43B2-93CF-98D776F82C27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1594" name="BC$K$376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F07EA7EB-E698-4CE9-826A-42AEBDA4E86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1596" name="BC$K$376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9E4F97E-D1C5-4BFC-8276-B93E6C1C399F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1598" name="BC$K$376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6A07AAF-EB6A-4C64-B7E6-9A253DA25C9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1600" name="BC$K$376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3FD4654-9642-4CE7-B89F-3134529F2FBE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1602" name="BC$K$376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E03604A-7CB5-4492-BF48-4B385C51F8F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1604" name="BC$K$376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9C0E2E4-4239-4DE3-9934-DAF7CCCDD0C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1606" name="BC$K$376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D68A667-AC85-4D17-BD92-0D5001A3659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1608" name="BC$K$376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B83F141-183B-4A73-8B5D-B0D1C772F8DB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1610" name="BC$K$376#BR26">
                                      <a:extLst>
                                        <a:ext uri="{FF2B5EF4-FFF2-40B4-BE49-F238E27FC236}">
                                          <a16:creationId xmlns:a16="http://schemas.microsoft.com/office/drawing/2014/main" id="{39AEA38E-342D-4495-9FAE-DB24CE7741B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1612" name="BC$K$376#BR27">
                                    <a:extLst>
                                      <a:ext uri="{FF2B5EF4-FFF2-40B4-BE49-F238E27FC236}">
                                        <a16:creationId xmlns:a16="http://schemas.microsoft.com/office/drawing/2014/main" id="{50A7BD00-1E68-4B72-96A3-B55F0416EA7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614" name="BC$K$376#BR28">
                                  <a:extLst>
                                    <a:ext uri="{FF2B5EF4-FFF2-40B4-BE49-F238E27FC236}">
                                      <a16:creationId xmlns:a16="http://schemas.microsoft.com/office/drawing/2014/main" id="{6E362858-D7A2-49FB-B59E-0CE6B4707BB1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616" name="BC$K$376#BR29">
                                <a:extLst>
                                  <a:ext uri="{FF2B5EF4-FFF2-40B4-BE49-F238E27FC236}">
                                    <a16:creationId xmlns:a16="http://schemas.microsoft.com/office/drawing/2014/main" id="{A553B0FA-E55F-4315-BF26-A7CC439ABA8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1618" name="BC$K$376#BR30">
                              <a:extLst>
                                <a:ext uri="{FF2B5EF4-FFF2-40B4-BE49-F238E27FC236}">
                                  <a16:creationId xmlns:a16="http://schemas.microsoft.com/office/drawing/2014/main" id="{55E6A72B-31F5-445F-B932-EB81162B503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1620" name="BC$K$376#BR31">
                            <a:extLst>
                              <a:ext uri="{FF2B5EF4-FFF2-40B4-BE49-F238E27FC236}">
                                <a16:creationId xmlns:a16="http://schemas.microsoft.com/office/drawing/2014/main" id="{5B941523-FDA9-4848-A874-7DED0AAA3E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1622" name="BC$K$376#BR32">
                          <a:extLst>
                            <a:ext uri="{FF2B5EF4-FFF2-40B4-BE49-F238E27FC236}">
                              <a16:creationId xmlns:a16="http://schemas.microsoft.com/office/drawing/2014/main" id="{41670D7C-AF31-4A37-8435-2217D85A104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1624" name="BC$K$376#BR33">
                        <a:extLst>
                          <a:ext uri="{FF2B5EF4-FFF2-40B4-BE49-F238E27FC236}">
                            <a16:creationId xmlns:a16="http://schemas.microsoft.com/office/drawing/2014/main" id="{CB02C9EC-14EA-4411-87D6-17D5413432B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1626" name="BC$K$376#BR34">
                      <a:extLst>
                        <a:ext uri="{FF2B5EF4-FFF2-40B4-BE49-F238E27FC236}">
                          <a16:creationId xmlns:a16="http://schemas.microsoft.com/office/drawing/2014/main" id="{3827388F-2995-43F2-8C7F-6E3169D97E7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1628" name="BC$K$376#BR35">
                    <a:extLst>
                      <a:ext uri="{FF2B5EF4-FFF2-40B4-BE49-F238E27FC236}">
                        <a16:creationId xmlns:a16="http://schemas.microsoft.com/office/drawing/2014/main" id="{48F30045-401D-4F83-86D9-A8467A7D4256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1630" name="BC$K$376#BR36">
                  <a:extLst>
                    <a:ext uri="{FF2B5EF4-FFF2-40B4-BE49-F238E27FC236}">
                      <a16:creationId xmlns:a16="http://schemas.microsoft.com/office/drawing/2014/main" id="{681C20C5-9805-421E-A007-EF5D7FF0947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1632" name="BC$K$376#BR37">
                <a:extLst>
                  <a:ext uri="{FF2B5EF4-FFF2-40B4-BE49-F238E27FC236}">
                    <a16:creationId xmlns:a16="http://schemas.microsoft.com/office/drawing/2014/main" id="{54C18094-0792-4140-A6C0-4D7A82D9231D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634" name="BC$K$376#BR38">
              <a:extLst>
                <a:ext uri="{FF2B5EF4-FFF2-40B4-BE49-F238E27FC236}">
                  <a16:creationId xmlns:a16="http://schemas.microsoft.com/office/drawing/2014/main" id="{F7F52D7A-6CB5-4CBD-BCDA-2BE14811FAE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636" name="BC$K$376#BR39">
            <a:extLst>
              <a:ext uri="{FF2B5EF4-FFF2-40B4-BE49-F238E27FC236}">
                <a16:creationId xmlns:a16="http://schemas.microsoft.com/office/drawing/2014/main" id="{99756D7D-81F7-475B-B9E5-7B4449C8EE97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393</xdr:row>
      <xdr:rowOff>9525</xdr:rowOff>
    </xdr:from>
    <xdr:to>
      <xdr:col>13</xdr:col>
      <xdr:colOff>209550</xdr:colOff>
      <xdr:row>395</xdr:row>
      <xdr:rowOff>9525</xdr:rowOff>
    </xdr:to>
    <xdr:grpSp>
      <xdr:nvGrpSpPr>
        <xdr:cNvPr id="12502" name="BC$K$387#GR">
          <a:extLst>
            <a:ext uri="{FF2B5EF4-FFF2-40B4-BE49-F238E27FC236}">
              <a16:creationId xmlns:a16="http://schemas.microsoft.com/office/drawing/2014/main" id="{181522F2-0F0C-4011-B887-E3875C3DA654}"/>
            </a:ext>
          </a:extLst>
        </xdr:cNvPr>
        <xdr:cNvGrpSpPr/>
      </xdr:nvGrpSpPr>
      <xdr:grpSpPr>
        <a:xfrm>
          <a:off x="2676525" y="74780775"/>
          <a:ext cx="381000" cy="381000"/>
          <a:chOff x="0" y="0"/>
          <a:chExt cx="381000" cy="381000"/>
        </a:xfrm>
      </xdr:grpSpPr>
      <xdr:grpSp>
        <xdr:nvGrpSpPr>
          <xdr:cNvPr id="12500" name="BC$K$387#GR">
            <a:extLst>
              <a:ext uri="{FF2B5EF4-FFF2-40B4-BE49-F238E27FC236}">
                <a16:creationId xmlns:a16="http://schemas.microsoft.com/office/drawing/2014/main" id="{8786F692-C448-4BC2-8DF7-41B1232F572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498" name="BC$K$387#GR">
              <a:extLst>
                <a:ext uri="{FF2B5EF4-FFF2-40B4-BE49-F238E27FC236}">
                  <a16:creationId xmlns:a16="http://schemas.microsoft.com/office/drawing/2014/main" id="{854F1C87-29BC-47A2-BA96-F10A23C03EE4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496" name="BC$K$387#GR">
                <a:extLst>
                  <a:ext uri="{FF2B5EF4-FFF2-40B4-BE49-F238E27FC236}">
                    <a16:creationId xmlns:a16="http://schemas.microsoft.com/office/drawing/2014/main" id="{C1396E0D-DAF1-4F79-9877-68919F9A0F0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494" name="BC$K$387#GR">
                  <a:extLst>
                    <a:ext uri="{FF2B5EF4-FFF2-40B4-BE49-F238E27FC236}">
                      <a16:creationId xmlns:a16="http://schemas.microsoft.com/office/drawing/2014/main" id="{A0827B3A-F882-4BB9-9B95-B35C73DE526E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492" name="BC$K$387#GR">
                    <a:extLst>
                      <a:ext uri="{FF2B5EF4-FFF2-40B4-BE49-F238E27FC236}">
                        <a16:creationId xmlns:a16="http://schemas.microsoft.com/office/drawing/2014/main" id="{5E46DAE9-949E-45FA-9831-96049D7CA6A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490" name="BC$K$387#GR">
                      <a:extLst>
                        <a:ext uri="{FF2B5EF4-FFF2-40B4-BE49-F238E27FC236}">
                          <a16:creationId xmlns:a16="http://schemas.microsoft.com/office/drawing/2014/main" id="{3E1CDD24-6A08-40AA-8355-68A350D4AF56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488" name="BC$K$387#GR">
                        <a:extLst>
                          <a:ext uri="{FF2B5EF4-FFF2-40B4-BE49-F238E27FC236}">
                            <a16:creationId xmlns:a16="http://schemas.microsoft.com/office/drawing/2014/main" id="{3B08BDB6-33B5-49C0-B205-D2510BFEBC1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486" name="BC$K$387#GR">
                          <a:extLst>
                            <a:ext uri="{FF2B5EF4-FFF2-40B4-BE49-F238E27FC236}">
                              <a16:creationId xmlns:a16="http://schemas.microsoft.com/office/drawing/2014/main" id="{A8377036-979F-4DD6-88F2-8A0B733DD193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484" name="BC$K$387#GR">
                            <a:extLst>
                              <a:ext uri="{FF2B5EF4-FFF2-40B4-BE49-F238E27FC236}">
                                <a16:creationId xmlns:a16="http://schemas.microsoft.com/office/drawing/2014/main" id="{15609B2B-8859-4620-9580-C5BD4E95D866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482" name="BC$K$387#GR">
                              <a:extLst>
                                <a:ext uri="{FF2B5EF4-FFF2-40B4-BE49-F238E27FC236}">
                                  <a16:creationId xmlns:a16="http://schemas.microsoft.com/office/drawing/2014/main" id="{9872DBD0-727B-4BF0-B867-3DD92D19937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480" name="BC$K$387#GR">
                                <a:extLst>
                                  <a:ext uri="{FF2B5EF4-FFF2-40B4-BE49-F238E27FC236}">
                                    <a16:creationId xmlns:a16="http://schemas.microsoft.com/office/drawing/2014/main" id="{1C3777D1-B5AF-4014-B45C-EAF929346D5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478" name="BC$K$387#GR">
                                  <a:extLst>
                                    <a:ext uri="{FF2B5EF4-FFF2-40B4-BE49-F238E27FC236}">
                                      <a16:creationId xmlns:a16="http://schemas.microsoft.com/office/drawing/2014/main" id="{D58E460D-326A-488B-A98E-189B8635EDC9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476" name="BC$K$387#GR">
                                    <a:extLst>
                                      <a:ext uri="{FF2B5EF4-FFF2-40B4-BE49-F238E27FC236}">
                                        <a16:creationId xmlns:a16="http://schemas.microsoft.com/office/drawing/2014/main" id="{8920803B-5F87-49A7-9F3D-FEFFAC54558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474" name="BC$K$387#GR">
                                      <a:extLst>
                                        <a:ext uri="{FF2B5EF4-FFF2-40B4-BE49-F238E27FC236}">
                                          <a16:creationId xmlns:a16="http://schemas.microsoft.com/office/drawing/2014/main" id="{3D1EDA92-F675-4117-9C5D-3F086E15EE6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472" name="BC$K$38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0B14BC8-5A0A-4803-AAEB-0BCD671D057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470" name="BC$K$38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93AA234-273C-4FFD-95DF-A07BBAB214FA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468" name="BC$K$38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BF91DC8-EE1C-4F69-8D84-D19994B5D5C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466" name="BC$K$38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0493A5C-5A21-45D8-88BD-2DCE1F34F26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464" name="BC$K$38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6A58BFB-E84B-42A3-9B47-32A5A11314C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462" name="BC$K$38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3C92EF5-D854-4477-901A-1EC72B66426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460" name="BC$K$38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6A1170C-5ACC-4F45-8BDE-9449065FA69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458" name="BC$K$38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DC7BC84-7F34-42E8-8A22-535685B3BEC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456" name="BC$K$38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B0619FA-B237-42A0-9286-BA6972A913B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454" name="BC$K$38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1160F63-6046-46E4-8B2A-E66C8F90CD43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452" name="BC$K$38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5C086AD-DA2F-4E13-886B-CC4BAD8E85B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450" name="BC$K$38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214A4B2-B816-4837-A39F-10F71E3844C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448" name="BC$K$38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4D14F901-3017-4639-A4B4-BE7B0F3EF0B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446" name="BC$K$38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C84F915-9047-4EBC-98E7-4B41A645266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444" name="BC$K$38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9F0E4D0-6414-4304-BB88-E21B71392DD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442" name="BC$K$38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48ABBEE-373B-44A0-87F6-CDF6A4A6755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440" name="BC$K$38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570C8FF-C1FA-4E05-8B27-03ABDDF76E2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438" name="BC$K$38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E805E4A-0127-45DE-8FEF-1282475ACFE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436" name="BC$K$38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50C31D2-BDB7-452A-9070-932572D338A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434" name="BC$K$38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3E9DB46-93AC-4C2C-8E1A-0390614BCBC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432" name="BC$K$38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B47F0A6-FD6C-436D-996E-3F48161A4B7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430" name="BC$K$38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3EA71F3-7EF2-4D97-8F68-E004661E7C2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428" name="BC$K$387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07D99B1-3C5A-420C-B2D2-5114DBCE02A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429" name="BC$K$387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1AC9B68-9E63-45E8-816D-9411536F964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431" name="BC$K$387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0970E78-C638-469B-BA96-D06BD4D81D7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433" name="BC$K$387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2601BC1-26A7-4907-844B-6E801B8FA9B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435" name="BC$K$387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5B14E3E-52DF-4D05-BF78-7A177F53453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437" name="BC$K$387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7E5622F-C260-4904-B830-49C175BE7F4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439" name="BC$K$387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FEF7B03-C67B-4675-9BF2-5D508EDD8BD5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441" name="BC$K$387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FB421DD-B870-48BA-8FDE-6B066BECA03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443" name="BC$K$387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740290D-DC67-4E72-86DD-0C88C5918FB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445" name="BC$K$387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867BAC07-81FB-4ED8-BAC6-BCE390550E0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447" name="BC$K$387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ECDF343-67CC-4E24-AAF1-95DA11ACA3F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449" name="BC$K$387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B501554-8621-475B-B137-67974F61083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451" name="BC$K$387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7113BAB-68B0-4DEC-999F-5DD75EDC813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453" name="BC$K$387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B12FBA1-2ADB-405C-AD48-96EB1C7AD2A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455" name="BC$K$387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123700A-1ED9-42B1-95FB-CBA8A81EE01E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457" name="BC$K$387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6A1C578-81EF-4A2C-919C-F335F998BA8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459" name="BC$K$387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638EFB0-D669-4502-BE37-3E4416A9612B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461" name="BC$K$387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8484D8E-2935-48FE-B519-A51F73E55F1D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463" name="BC$K$387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1CEE1AF-3BAB-4FA1-A638-9817343C2E9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465" name="BC$K$387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FFDF6CC-F195-4C24-A332-0327B665BCC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467" name="BC$K$387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92DC4F9-05D4-4B6D-A09C-09201286D8C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469" name="BC$K$387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494C32F-FE9C-40D1-852A-4E8D44358AE5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471" name="BC$K$387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35A5CAD-BAFB-43D7-95D0-CF2B1A071EA5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473" name="BC$K$387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7911391-0422-4DE0-B222-96D877A93E7A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475" name="BC$K$387#BR24">
                                      <a:extLst>
                                        <a:ext uri="{FF2B5EF4-FFF2-40B4-BE49-F238E27FC236}">
                                          <a16:creationId xmlns:a16="http://schemas.microsoft.com/office/drawing/2014/main" id="{AF44BD63-4AFB-4235-BB9D-7C217059113D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477" name="BC$K$387#BR25">
                                    <a:extLst>
                                      <a:ext uri="{FF2B5EF4-FFF2-40B4-BE49-F238E27FC236}">
                                        <a16:creationId xmlns:a16="http://schemas.microsoft.com/office/drawing/2014/main" id="{9839BF1A-C765-4438-A7DC-99DCCE02D22D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479" name="BC$K$387#BR26">
                                  <a:extLst>
                                    <a:ext uri="{FF2B5EF4-FFF2-40B4-BE49-F238E27FC236}">
                                      <a16:creationId xmlns:a16="http://schemas.microsoft.com/office/drawing/2014/main" id="{8E916CF6-BEF9-4DAA-996D-D57B310C9F69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481" name="BC$K$387#BR27">
                                <a:extLst>
                                  <a:ext uri="{FF2B5EF4-FFF2-40B4-BE49-F238E27FC236}">
                                    <a16:creationId xmlns:a16="http://schemas.microsoft.com/office/drawing/2014/main" id="{BDDE0588-6741-498A-8998-122F7190FA1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483" name="BC$K$387#BR28">
                              <a:extLst>
                                <a:ext uri="{FF2B5EF4-FFF2-40B4-BE49-F238E27FC236}">
                                  <a16:creationId xmlns:a16="http://schemas.microsoft.com/office/drawing/2014/main" id="{BC1A8067-0DF0-4CDF-B7E0-BBA1A449E84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485" name="BC$K$387#BR29">
                            <a:extLst>
                              <a:ext uri="{FF2B5EF4-FFF2-40B4-BE49-F238E27FC236}">
                                <a16:creationId xmlns:a16="http://schemas.microsoft.com/office/drawing/2014/main" id="{436E72D2-D0AF-48A1-84C5-3F0C4DC701D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487" name="BC$K$387#BR30">
                          <a:extLst>
                            <a:ext uri="{FF2B5EF4-FFF2-40B4-BE49-F238E27FC236}">
                              <a16:creationId xmlns:a16="http://schemas.microsoft.com/office/drawing/2014/main" id="{66A5E1FB-681B-4EDD-8645-DBF0E88BC73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489" name="BC$K$387#BR31">
                        <a:extLst>
                          <a:ext uri="{FF2B5EF4-FFF2-40B4-BE49-F238E27FC236}">
                            <a16:creationId xmlns:a16="http://schemas.microsoft.com/office/drawing/2014/main" id="{1F82FE48-5AA6-4338-9AF6-E2EB959E386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491" name="BC$K$387#BR32">
                      <a:extLst>
                        <a:ext uri="{FF2B5EF4-FFF2-40B4-BE49-F238E27FC236}">
                          <a16:creationId xmlns:a16="http://schemas.microsoft.com/office/drawing/2014/main" id="{6FDC4780-BEB4-48DE-B8DA-1A27F7578E0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493" name="BC$K$387#BR33">
                    <a:extLst>
                      <a:ext uri="{FF2B5EF4-FFF2-40B4-BE49-F238E27FC236}">
                        <a16:creationId xmlns:a16="http://schemas.microsoft.com/office/drawing/2014/main" id="{188FAF00-41BE-4AC8-BDC7-28B7444C01AC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495" name="BC$K$387#BR34">
                  <a:extLst>
                    <a:ext uri="{FF2B5EF4-FFF2-40B4-BE49-F238E27FC236}">
                      <a16:creationId xmlns:a16="http://schemas.microsoft.com/office/drawing/2014/main" id="{08E1658C-3DCE-445C-8892-A4A8B2E0DFC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497" name="BC$K$387#BR35">
                <a:extLst>
                  <a:ext uri="{FF2B5EF4-FFF2-40B4-BE49-F238E27FC236}">
                    <a16:creationId xmlns:a16="http://schemas.microsoft.com/office/drawing/2014/main" id="{22860AE6-14A5-4149-8CC8-9A064F7ACCB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499" name="BC$K$387#BR36">
              <a:extLst>
                <a:ext uri="{FF2B5EF4-FFF2-40B4-BE49-F238E27FC236}">
                  <a16:creationId xmlns:a16="http://schemas.microsoft.com/office/drawing/2014/main" id="{9DDFA989-9609-461D-B395-923673F5538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501" name="BC$K$387#BR37">
            <a:extLst>
              <a:ext uri="{FF2B5EF4-FFF2-40B4-BE49-F238E27FC236}">
                <a16:creationId xmlns:a16="http://schemas.microsoft.com/office/drawing/2014/main" id="{89C4C571-6363-41AE-A8E0-3DBDF6C54D2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393</xdr:row>
      <xdr:rowOff>9525</xdr:rowOff>
    </xdr:from>
    <xdr:to>
      <xdr:col>27</xdr:col>
      <xdr:colOff>190500</xdr:colOff>
      <xdr:row>395</xdr:row>
      <xdr:rowOff>9525</xdr:rowOff>
    </xdr:to>
    <xdr:grpSp>
      <xdr:nvGrpSpPr>
        <xdr:cNvPr id="12577" name="BC$Y$387#GR">
          <a:extLst>
            <a:ext uri="{FF2B5EF4-FFF2-40B4-BE49-F238E27FC236}">
              <a16:creationId xmlns:a16="http://schemas.microsoft.com/office/drawing/2014/main" id="{9D64493E-DB37-40C5-8283-08D3256A1842}"/>
            </a:ext>
          </a:extLst>
        </xdr:cNvPr>
        <xdr:cNvGrpSpPr/>
      </xdr:nvGrpSpPr>
      <xdr:grpSpPr>
        <a:xfrm>
          <a:off x="5772150" y="74780775"/>
          <a:ext cx="381000" cy="381000"/>
          <a:chOff x="0" y="0"/>
          <a:chExt cx="381000" cy="381000"/>
        </a:xfrm>
      </xdr:grpSpPr>
      <xdr:grpSp>
        <xdr:nvGrpSpPr>
          <xdr:cNvPr id="12575" name="BC$Y$387#GR">
            <a:extLst>
              <a:ext uri="{FF2B5EF4-FFF2-40B4-BE49-F238E27FC236}">
                <a16:creationId xmlns:a16="http://schemas.microsoft.com/office/drawing/2014/main" id="{613B703E-99A9-4663-8009-0261386B6DB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573" name="BC$Y$387#GR">
              <a:extLst>
                <a:ext uri="{FF2B5EF4-FFF2-40B4-BE49-F238E27FC236}">
                  <a16:creationId xmlns:a16="http://schemas.microsoft.com/office/drawing/2014/main" id="{A9A724B1-9987-49DE-AEAD-D13009F817F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571" name="BC$Y$387#GR">
                <a:extLst>
                  <a:ext uri="{FF2B5EF4-FFF2-40B4-BE49-F238E27FC236}">
                    <a16:creationId xmlns:a16="http://schemas.microsoft.com/office/drawing/2014/main" id="{4AD42B55-7736-4A94-807C-9D37AFD22CA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569" name="BC$Y$387#GR">
                  <a:extLst>
                    <a:ext uri="{FF2B5EF4-FFF2-40B4-BE49-F238E27FC236}">
                      <a16:creationId xmlns:a16="http://schemas.microsoft.com/office/drawing/2014/main" id="{09F53BD1-6D15-4247-99A1-4C0AC383721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567" name="BC$Y$387#GR">
                    <a:extLst>
                      <a:ext uri="{FF2B5EF4-FFF2-40B4-BE49-F238E27FC236}">
                        <a16:creationId xmlns:a16="http://schemas.microsoft.com/office/drawing/2014/main" id="{102C7BEA-45DE-4922-AFA3-DF6F840AF7B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565" name="BC$Y$387#GR">
                      <a:extLst>
                        <a:ext uri="{FF2B5EF4-FFF2-40B4-BE49-F238E27FC236}">
                          <a16:creationId xmlns:a16="http://schemas.microsoft.com/office/drawing/2014/main" id="{BDE99358-EEF2-4013-BF5B-835253A1E4EF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563" name="BC$Y$387#GR">
                        <a:extLst>
                          <a:ext uri="{FF2B5EF4-FFF2-40B4-BE49-F238E27FC236}">
                            <a16:creationId xmlns:a16="http://schemas.microsoft.com/office/drawing/2014/main" id="{EC60A7A3-B2E7-46CB-B785-A1CBA817EB8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561" name="BC$Y$387#GR">
                          <a:extLst>
                            <a:ext uri="{FF2B5EF4-FFF2-40B4-BE49-F238E27FC236}">
                              <a16:creationId xmlns:a16="http://schemas.microsoft.com/office/drawing/2014/main" id="{F535A920-01C0-4B1C-A601-46EC82156ED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559" name="BC$Y$387#GR">
                            <a:extLst>
                              <a:ext uri="{FF2B5EF4-FFF2-40B4-BE49-F238E27FC236}">
                                <a16:creationId xmlns:a16="http://schemas.microsoft.com/office/drawing/2014/main" id="{10C8DC0E-E43C-4D0B-8A51-46DFD35ADDE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557" name="BC$Y$387#GR">
                              <a:extLst>
                                <a:ext uri="{FF2B5EF4-FFF2-40B4-BE49-F238E27FC236}">
                                  <a16:creationId xmlns:a16="http://schemas.microsoft.com/office/drawing/2014/main" id="{2B61E62C-F8BE-46E8-AA99-3E818A771442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555" name="BC$Y$387#GR">
                                <a:extLst>
                                  <a:ext uri="{FF2B5EF4-FFF2-40B4-BE49-F238E27FC236}">
                                    <a16:creationId xmlns:a16="http://schemas.microsoft.com/office/drawing/2014/main" id="{D57E4877-9CF2-42D4-A7CE-F798BDA341B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553" name="BC$Y$387#GR">
                                  <a:extLst>
                                    <a:ext uri="{FF2B5EF4-FFF2-40B4-BE49-F238E27FC236}">
                                      <a16:creationId xmlns:a16="http://schemas.microsoft.com/office/drawing/2014/main" id="{39390094-E7AB-4E98-BC39-1F04A56E42C9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551" name="BC$Y$387#GR">
                                    <a:extLst>
                                      <a:ext uri="{FF2B5EF4-FFF2-40B4-BE49-F238E27FC236}">
                                        <a16:creationId xmlns:a16="http://schemas.microsoft.com/office/drawing/2014/main" id="{AD8E4F00-87F7-4D2C-99C1-E2ADE3DE3EA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549" name="BC$Y$387#GR">
                                      <a:extLst>
                                        <a:ext uri="{FF2B5EF4-FFF2-40B4-BE49-F238E27FC236}">
                                          <a16:creationId xmlns:a16="http://schemas.microsoft.com/office/drawing/2014/main" id="{72301C9C-5645-4BC3-8A9B-54242EB06FEA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547" name="BC$Y$38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3313CF9-B304-4B22-881A-0F5A1217E7A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545" name="BC$Y$38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475AD66-C6CD-40FD-B815-B4C38131009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543" name="BC$Y$38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D214199-17D9-443B-A171-743FFC59648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541" name="BC$Y$38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FF9199F-0D53-4C95-B4EF-4856893F2E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539" name="BC$Y$38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D928CC1-9AEB-427C-84BB-1743DAAE2B9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537" name="BC$Y$38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C83C2D1-980B-4CD3-B3F1-600FE399C778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535" name="BC$Y$38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E660A4E-1540-45BD-B0BE-3F7EF112A9BA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533" name="BC$Y$38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FA319BE-F08B-4004-B100-51123B305DBF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531" name="BC$Y$38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680FEE0-76A5-4BD1-B7C6-48585E38C363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529" name="BC$Y$38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C195D78-EC58-46A3-9825-37A092C97BC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527" name="BC$Y$38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279CFAD-A84D-4F36-A770-6A3AED7E061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525" name="BC$Y$38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490C701-9E3B-4425-8471-129B03AEC35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523" name="BC$Y$38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EB158AD-BFEE-40E9-A4D1-A6FE6648D22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521" name="BC$Y$38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938CA5D-B6FC-44D8-9C84-F7A34C08DF4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519" name="BC$Y$38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F067B9D-394B-4598-87DC-87F8E267252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517" name="BC$Y$38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BF2355C-F993-4EF6-96D9-2BEEA662F59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515" name="BC$Y$38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49751BE-9766-4F10-B9E0-05B3B5EE52E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513" name="BC$Y$38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9A604E8-0266-4B6F-8420-64FB4647AFA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511" name="BC$Y$38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E073B87-14A1-4E36-96C5-27ED99F80A7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509" name="BC$Y$38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6197605-5F41-4C33-AC71-DE5BB40284C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507" name="BC$Y$38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0F6162D-385C-4F52-A4B6-72814B64C43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505" name="BC$Y$38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47264F0-0B2F-48B1-9013-8162DD58DF5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503" name="BC$Y$387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48E29ED-42C4-4D94-B93C-857022DCFD6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504" name="BC$Y$387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04B3871-A580-41D5-B533-8E2CEDB9301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506" name="BC$Y$387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029DEDC-D6C3-4376-81BE-23ADC7141A1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508" name="BC$Y$387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B23D601-5E64-4E71-8E92-103B3291E2B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510" name="BC$Y$387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872456A-9312-41B0-919D-FB9BF443835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512" name="BC$Y$387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C48FB08-A640-4697-90E0-CA8F677ED23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514" name="BC$Y$387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C2A8875-9FA7-4360-BFDA-120220FD0A1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516" name="BC$Y$387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D79D0DB-97A3-4568-887E-20DAC1AF1E7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518" name="BC$Y$387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C8EBD62-4549-4BBF-A68E-FBB886AAFC73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520" name="BC$Y$387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64452F0-721D-4E17-BCF4-22F1A9A07CB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522" name="BC$Y$387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43AE10B-0D5A-4101-A401-8C0993CF969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524" name="BC$Y$387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B9555A3-4A3F-4857-9B73-332E7F448CD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526" name="BC$Y$387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8073BCE-BFEC-459A-A9C3-2B8E51FAD8CF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528" name="BC$Y$387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DD44790-9C72-408E-9C2A-CE9A6912B04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530" name="BC$Y$387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F9BF503-F2B5-4FF4-A065-CEE99464569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532" name="BC$Y$387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A21D51D-2ACA-4FBE-9BCE-F5CDD434A885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534" name="BC$Y$387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B6FD657-9A67-437C-B8F6-0823C17E01E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536" name="BC$Y$387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8228DCE-2C1E-4094-AC8A-835351DE23A7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538" name="BC$Y$387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6B48DE3-7E86-48A6-A50F-5A5DDFA2CEE8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540" name="BC$Y$387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5CED3D4-E626-42C1-9427-7623235BF4D9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542" name="BC$Y$387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F3BD7ED-BC66-43FE-8F9F-E637CD92EDC1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544" name="BC$Y$387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4571172-2917-4E6A-B0FC-5C836E21619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546" name="BC$Y$387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B3BDF46-AF09-4306-B4E8-5BE7EFADABD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548" name="BC$Y$387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1E1B85A-A314-492F-A843-8105781A98D7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550" name="BC$Y$387#BR24">
                                      <a:extLst>
                                        <a:ext uri="{FF2B5EF4-FFF2-40B4-BE49-F238E27FC236}">
                                          <a16:creationId xmlns:a16="http://schemas.microsoft.com/office/drawing/2014/main" id="{E259315C-53C3-41D0-B055-098CA0F16E84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552" name="BC$Y$387#BR25">
                                    <a:extLst>
                                      <a:ext uri="{FF2B5EF4-FFF2-40B4-BE49-F238E27FC236}">
                                        <a16:creationId xmlns:a16="http://schemas.microsoft.com/office/drawing/2014/main" id="{11B65E4A-6510-4FEB-86C8-12A6DB48A2C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554" name="BC$Y$387#BR26">
                                  <a:extLst>
                                    <a:ext uri="{FF2B5EF4-FFF2-40B4-BE49-F238E27FC236}">
                                      <a16:creationId xmlns:a16="http://schemas.microsoft.com/office/drawing/2014/main" id="{57229F4B-9C3D-4BCB-A53B-03206A1F4209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556" name="BC$Y$387#BR27">
                                <a:extLst>
                                  <a:ext uri="{FF2B5EF4-FFF2-40B4-BE49-F238E27FC236}">
                                    <a16:creationId xmlns:a16="http://schemas.microsoft.com/office/drawing/2014/main" id="{6DCB5944-879F-4170-8DB6-3BFBC1FC6CC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558" name="BC$Y$387#BR28">
                              <a:extLst>
                                <a:ext uri="{FF2B5EF4-FFF2-40B4-BE49-F238E27FC236}">
                                  <a16:creationId xmlns:a16="http://schemas.microsoft.com/office/drawing/2014/main" id="{FE9C1AAF-9C61-459F-BA77-89D78FDE60B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560" name="BC$Y$387#BR29">
                            <a:extLst>
                              <a:ext uri="{FF2B5EF4-FFF2-40B4-BE49-F238E27FC236}">
                                <a16:creationId xmlns:a16="http://schemas.microsoft.com/office/drawing/2014/main" id="{5461D333-AE03-4A9D-8DC4-68438A9196D1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562" name="BC$Y$387#BR30">
                          <a:extLst>
                            <a:ext uri="{FF2B5EF4-FFF2-40B4-BE49-F238E27FC236}">
                              <a16:creationId xmlns:a16="http://schemas.microsoft.com/office/drawing/2014/main" id="{A8361A65-EACA-46CE-A326-6AE78C03027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564" name="BC$Y$387#BR31">
                        <a:extLst>
                          <a:ext uri="{FF2B5EF4-FFF2-40B4-BE49-F238E27FC236}">
                            <a16:creationId xmlns:a16="http://schemas.microsoft.com/office/drawing/2014/main" id="{A840FCF6-6834-4479-843D-0F6717F6ECA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566" name="BC$Y$387#BR32">
                      <a:extLst>
                        <a:ext uri="{FF2B5EF4-FFF2-40B4-BE49-F238E27FC236}">
                          <a16:creationId xmlns:a16="http://schemas.microsoft.com/office/drawing/2014/main" id="{64472B3E-BD05-4874-B77F-5CB3B3737EA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568" name="BC$Y$387#BR33">
                    <a:extLst>
                      <a:ext uri="{FF2B5EF4-FFF2-40B4-BE49-F238E27FC236}">
                        <a16:creationId xmlns:a16="http://schemas.microsoft.com/office/drawing/2014/main" id="{83AA8EAD-7281-4100-B66D-27052A975E3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570" name="BC$Y$387#BR34">
                  <a:extLst>
                    <a:ext uri="{FF2B5EF4-FFF2-40B4-BE49-F238E27FC236}">
                      <a16:creationId xmlns:a16="http://schemas.microsoft.com/office/drawing/2014/main" id="{42B107B5-3B71-426C-9F8E-BE0276251098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572" name="BC$Y$387#BR35">
                <a:extLst>
                  <a:ext uri="{FF2B5EF4-FFF2-40B4-BE49-F238E27FC236}">
                    <a16:creationId xmlns:a16="http://schemas.microsoft.com/office/drawing/2014/main" id="{93C73866-6D9B-48DA-87E2-F89534F74D96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574" name="BC$Y$387#BR36">
              <a:extLst>
                <a:ext uri="{FF2B5EF4-FFF2-40B4-BE49-F238E27FC236}">
                  <a16:creationId xmlns:a16="http://schemas.microsoft.com/office/drawing/2014/main" id="{93BA628A-005F-4306-BCDD-48C9BC5CA40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576" name="BC$Y$387#BR37">
            <a:extLst>
              <a:ext uri="{FF2B5EF4-FFF2-40B4-BE49-F238E27FC236}">
                <a16:creationId xmlns:a16="http://schemas.microsoft.com/office/drawing/2014/main" id="{68C1437E-239F-4BBE-8C62-62D122DD388C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404</xdr:row>
      <xdr:rowOff>9525</xdr:rowOff>
    </xdr:from>
    <xdr:to>
      <xdr:col>27</xdr:col>
      <xdr:colOff>200025</xdr:colOff>
      <xdr:row>406</xdr:row>
      <xdr:rowOff>9525</xdr:rowOff>
    </xdr:to>
    <xdr:grpSp>
      <xdr:nvGrpSpPr>
        <xdr:cNvPr id="12652" name="BC$Y$398#GR">
          <a:extLst>
            <a:ext uri="{FF2B5EF4-FFF2-40B4-BE49-F238E27FC236}">
              <a16:creationId xmlns:a16="http://schemas.microsoft.com/office/drawing/2014/main" id="{34B81589-D612-4F5C-8DDC-B3370AEEA9EE}"/>
            </a:ext>
          </a:extLst>
        </xdr:cNvPr>
        <xdr:cNvGrpSpPr/>
      </xdr:nvGrpSpPr>
      <xdr:grpSpPr>
        <a:xfrm>
          <a:off x="5781675" y="76876275"/>
          <a:ext cx="381000" cy="381000"/>
          <a:chOff x="0" y="0"/>
          <a:chExt cx="381000" cy="381000"/>
        </a:xfrm>
      </xdr:grpSpPr>
      <xdr:grpSp>
        <xdr:nvGrpSpPr>
          <xdr:cNvPr id="12650" name="BC$Y$398#GR">
            <a:extLst>
              <a:ext uri="{FF2B5EF4-FFF2-40B4-BE49-F238E27FC236}">
                <a16:creationId xmlns:a16="http://schemas.microsoft.com/office/drawing/2014/main" id="{BD5F9864-D529-4133-81AD-C1C8BD9D45B7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648" name="BC$Y$398#GR">
              <a:extLst>
                <a:ext uri="{FF2B5EF4-FFF2-40B4-BE49-F238E27FC236}">
                  <a16:creationId xmlns:a16="http://schemas.microsoft.com/office/drawing/2014/main" id="{A6897D4A-CE04-4549-98E3-908171CFADF3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646" name="BC$Y$398#GR">
                <a:extLst>
                  <a:ext uri="{FF2B5EF4-FFF2-40B4-BE49-F238E27FC236}">
                    <a16:creationId xmlns:a16="http://schemas.microsoft.com/office/drawing/2014/main" id="{803B7C8A-3629-46AA-BC9B-3F4E188B958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644" name="BC$Y$398#GR">
                  <a:extLst>
                    <a:ext uri="{FF2B5EF4-FFF2-40B4-BE49-F238E27FC236}">
                      <a16:creationId xmlns:a16="http://schemas.microsoft.com/office/drawing/2014/main" id="{A71F0BC9-57FC-4CAE-9C15-01431845881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642" name="BC$Y$398#GR">
                    <a:extLst>
                      <a:ext uri="{FF2B5EF4-FFF2-40B4-BE49-F238E27FC236}">
                        <a16:creationId xmlns:a16="http://schemas.microsoft.com/office/drawing/2014/main" id="{15F4040C-960F-4D6F-9087-C9E4DAF33BAD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640" name="BC$Y$398#GR">
                      <a:extLst>
                        <a:ext uri="{FF2B5EF4-FFF2-40B4-BE49-F238E27FC236}">
                          <a16:creationId xmlns:a16="http://schemas.microsoft.com/office/drawing/2014/main" id="{68BBB863-D6F4-4EE2-A5C9-D93848C7912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638" name="BC$Y$398#GR">
                        <a:extLst>
                          <a:ext uri="{FF2B5EF4-FFF2-40B4-BE49-F238E27FC236}">
                            <a16:creationId xmlns:a16="http://schemas.microsoft.com/office/drawing/2014/main" id="{4F4FDB47-3F83-4A86-97EF-4F3F09D1C9B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636" name="BC$Y$398#GR">
                          <a:extLst>
                            <a:ext uri="{FF2B5EF4-FFF2-40B4-BE49-F238E27FC236}">
                              <a16:creationId xmlns:a16="http://schemas.microsoft.com/office/drawing/2014/main" id="{7B11912F-8977-4709-B113-E5B638F43C0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634" name="BC$Y$398#GR">
                            <a:extLst>
                              <a:ext uri="{FF2B5EF4-FFF2-40B4-BE49-F238E27FC236}">
                                <a16:creationId xmlns:a16="http://schemas.microsoft.com/office/drawing/2014/main" id="{C76B1843-4AAF-45CC-BB05-7A7F88A3320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632" name="BC$Y$398#GR">
                              <a:extLst>
                                <a:ext uri="{FF2B5EF4-FFF2-40B4-BE49-F238E27FC236}">
                                  <a16:creationId xmlns:a16="http://schemas.microsoft.com/office/drawing/2014/main" id="{3C1A9A9B-298C-46E9-B16C-A1E6AB79F75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630" name="BC$Y$398#GR">
                                <a:extLst>
                                  <a:ext uri="{FF2B5EF4-FFF2-40B4-BE49-F238E27FC236}">
                                    <a16:creationId xmlns:a16="http://schemas.microsoft.com/office/drawing/2014/main" id="{690E550D-49A9-4E15-B62D-94482D26376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628" name="BC$Y$398#GR">
                                  <a:extLst>
                                    <a:ext uri="{FF2B5EF4-FFF2-40B4-BE49-F238E27FC236}">
                                      <a16:creationId xmlns:a16="http://schemas.microsoft.com/office/drawing/2014/main" id="{79B90240-C379-4868-94E4-6F82F1FDEDF1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626" name="BC$Y$398#GR">
                                    <a:extLst>
                                      <a:ext uri="{FF2B5EF4-FFF2-40B4-BE49-F238E27FC236}">
                                        <a16:creationId xmlns:a16="http://schemas.microsoft.com/office/drawing/2014/main" id="{01C804D5-5CDA-4130-AB8C-3A7C445A6D69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624" name="BC$Y$398#GR">
                                      <a:extLst>
                                        <a:ext uri="{FF2B5EF4-FFF2-40B4-BE49-F238E27FC236}">
                                          <a16:creationId xmlns:a16="http://schemas.microsoft.com/office/drawing/2014/main" id="{F0F420B4-9D55-471B-B92D-EE7123292D2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622" name="BC$Y$39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6CFCCCE-4CE3-4795-A3C7-DD32231C0C3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620" name="BC$Y$39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CAFBE69-B382-4498-80A2-D6D5658D40A2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618" name="BC$Y$39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419AAD2-1820-4AC1-BBF5-98F990AEA13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616" name="BC$Y$39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7F962A1-7C15-4150-9EBB-A6CC45628106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614" name="BC$Y$39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63F5A70-D84B-44E0-9FD7-D961E85E0951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612" name="BC$Y$39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FAB265B-96F3-4BAD-B80D-8B859FFF6CFB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610" name="BC$Y$39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F15C480-1B8F-48EE-9BDB-1D89C25AFBF6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608" name="BC$Y$39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4FA6C3F-6890-482F-A479-E4ED31BDAC7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606" name="BC$Y$39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C123E6F-5230-43E2-AAF0-946DA63FA2B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604" name="BC$Y$39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4E611D7-04C7-4775-9AE5-2AB7CD2BB65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602" name="BC$Y$39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A2290F7-63A3-4C38-A482-55704810D10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600" name="BC$Y$39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1E4298D-E11D-4075-84C4-F788308A8DF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598" name="BC$Y$39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56CA9B3-A56E-450D-A637-0C01AA1552B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596" name="BC$Y$39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9106B35-9CF8-4976-8D2C-81082EBA951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594" name="BC$Y$39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CB9313E-EA56-4887-B303-E4A12A02E32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592" name="BC$Y$39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FEA5411-0626-4DE8-9CF5-AAFE4F435BD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590" name="BC$Y$39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17827CD-8CF5-49D3-8CBD-E891F9EAAE9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588" name="BC$Y$39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F8C36FA-625F-45FD-8954-EF8B97C9321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586" name="BC$Y$39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04E1A06-9F07-4049-BF94-CAAEA217DBB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584" name="BC$Y$39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20428BF-A3C0-4391-AF8D-6E12750127E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582" name="BC$Y$39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9613A08-DDC2-44B6-9FC9-584F28FF2FB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580" name="BC$Y$39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5AB7356-C9D7-4DCE-8419-3B39FB9579A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578" name="BC$Y$398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D24BB75-1E8E-486D-96E2-C771192AF23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579" name="BC$Y$398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B07CC58-0083-4400-9527-9A6FB93EB82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581" name="BC$Y$398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633DE18-9744-4936-9907-25C4C8D5075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583" name="BC$Y$398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550BD48-7D99-4937-8544-03490F0F06C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585" name="BC$Y$398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0541E28-CE2B-4FAD-BC71-53BED8B4F0B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587" name="BC$Y$398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02E0115-199F-40D7-8198-D62118BEE42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589" name="BC$Y$398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5C16CA0-2A4D-4A7E-A976-C8BB3DA73CB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591" name="BC$Y$398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9BF9077-E51A-4FBA-BD3D-55FF565FB82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593" name="BC$Y$398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A73D925-E499-4F46-AFF8-3F9E4A1D09D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595" name="BC$Y$398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20F6C8D-DA16-42AB-99EC-EFFB251E393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597" name="BC$Y$398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E749010-62A6-4E72-9739-44DF43B8849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599" name="BC$Y$398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B2A22FA-000D-4634-B2F4-32DE044F281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601" name="BC$Y$398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AD06F38-6195-4071-92F6-3CEFD2C46A7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603" name="BC$Y$398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9012A53-B388-4C24-B5DA-00456382CEB3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605" name="BC$Y$398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E702D3C-B310-4C7C-8E40-38BAC24B56A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607" name="BC$Y$398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C70681B-AA6C-4970-95BF-3CB680888D3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609" name="BC$Y$398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A0B3D72-245A-4CEF-A5CB-37C197F8948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611" name="BC$Y$398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21E5D94-28F3-4BCC-A73B-050FC8ADCA6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613" name="BC$Y$398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CF6A72E-FD38-482B-ACEB-0A6D001B7912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615" name="BC$Y$398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4884B52-6DFF-434A-9406-D9C7F585396F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617" name="BC$Y$398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6294C18-1FFC-40C6-B4F7-0F4AEA2A6AB9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619" name="BC$Y$398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2DCA969-30DE-4591-B9D9-F0ACB4DA8BF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621" name="BC$Y$398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7CB7F0F-8CEA-4DD3-B7D3-5E6790CCE9B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623" name="BC$Y$398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B528F2F-3D3E-4A47-9DA9-2ACCBFF9437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625" name="BC$Y$398#BR24">
                                      <a:extLst>
                                        <a:ext uri="{FF2B5EF4-FFF2-40B4-BE49-F238E27FC236}">
                                          <a16:creationId xmlns:a16="http://schemas.microsoft.com/office/drawing/2014/main" id="{8483C37B-2398-4E4B-B4AF-AFE4E710722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627" name="BC$Y$398#BR25">
                                    <a:extLst>
                                      <a:ext uri="{FF2B5EF4-FFF2-40B4-BE49-F238E27FC236}">
                                        <a16:creationId xmlns:a16="http://schemas.microsoft.com/office/drawing/2014/main" id="{8BFF36B8-7F5D-4F48-A388-D00AC6768158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629" name="BC$Y$398#BR26">
                                  <a:extLst>
                                    <a:ext uri="{FF2B5EF4-FFF2-40B4-BE49-F238E27FC236}">
                                      <a16:creationId xmlns:a16="http://schemas.microsoft.com/office/drawing/2014/main" id="{82D28D9A-4F84-4CCA-B11B-2F6EC6C14D4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631" name="BC$Y$398#BR27">
                                <a:extLst>
                                  <a:ext uri="{FF2B5EF4-FFF2-40B4-BE49-F238E27FC236}">
                                    <a16:creationId xmlns:a16="http://schemas.microsoft.com/office/drawing/2014/main" id="{CC3C3E15-E883-45EA-9C0C-6E215229E21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633" name="BC$Y$398#BR28">
                              <a:extLst>
                                <a:ext uri="{FF2B5EF4-FFF2-40B4-BE49-F238E27FC236}">
                                  <a16:creationId xmlns:a16="http://schemas.microsoft.com/office/drawing/2014/main" id="{6B8CB969-357D-4A30-A590-EAD3E58C4C9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635" name="BC$Y$398#BR29">
                            <a:extLst>
                              <a:ext uri="{FF2B5EF4-FFF2-40B4-BE49-F238E27FC236}">
                                <a16:creationId xmlns:a16="http://schemas.microsoft.com/office/drawing/2014/main" id="{945CED09-3030-4EC5-87DC-B838090E858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637" name="BC$Y$398#BR30">
                          <a:extLst>
                            <a:ext uri="{FF2B5EF4-FFF2-40B4-BE49-F238E27FC236}">
                              <a16:creationId xmlns:a16="http://schemas.microsoft.com/office/drawing/2014/main" id="{9D8AF4E3-F215-41BC-8F6F-B7DB963D6BD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639" name="BC$Y$398#BR31">
                        <a:extLst>
                          <a:ext uri="{FF2B5EF4-FFF2-40B4-BE49-F238E27FC236}">
                            <a16:creationId xmlns:a16="http://schemas.microsoft.com/office/drawing/2014/main" id="{E65CE744-86D7-4DF3-8728-A55EA8DD67D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641" name="BC$Y$398#BR32">
                      <a:extLst>
                        <a:ext uri="{FF2B5EF4-FFF2-40B4-BE49-F238E27FC236}">
                          <a16:creationId xmlns:a16="http://schemas.microsoft.com/office/drawing/2014/main" id="{37585CDE-B23D-42E5-935F-86B22733097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643" name="BC$Y$398#BR33">
                    <a:extLst>
                      <a:ext uri="{FF2B5EF4-FFF2-40B4-BE49-F238E27FC236}">
                        <a16:creationId xmlns:a16="http://schemas.microsoft.com/office/drawing/2014/main" id="{0DF2A134-D388-4D0C-A2C1-97F1F9FA553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645" name="BC$Y$398#BR34">
                  <a:extLst>
                    <a:ext uri="{FF2B5EF4-FFF2-40B4-BE49-F238E27FC236}">
                      <a16:creationId xmlns:a16="http://schemas.microsoft.com/office/drawing/2014/main" id="{6F70BDA6-C72D-45B8-AA5D-E5761E2A6DC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647" name="BC$Y$398#BR35">
                <a:extLst>
                  <a:ext uri="{FF2B5EF4-FFF2-40B4-BE49-F238E27FC236}">
                    <a16:creationId xmlns:a16="http://schemas.microsoft.com/office/drawing/2014/main" id="{9E22314F-14E4-41D6-BA5E-212F51FAE2B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649" name="BC$Y$398#BR36">
              <a:extLst>
                <a:ext uri="{FF2B5EF4-FFF2-40B4-BE49-F238E27FC236}">
                  <a16:creationId xmlns:a16="http://schemas.microsoft.com/office/drawing/2014/main" id="{968134A9-EBD5-4932-9521-8FD935CD4FA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651" name="BC$Y$398#BR37">
            <a:extLst>
              <a:ext uri="{FF2B5EF4-FFF2-40B4-BE49-F238E27FC236}">
                <a16:creationId xmlns:a16="http://schemas.microsoft.com/office/drawing/2014/main" id="{0D0A13C7-37E4-4262-B263-293F6972A02C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404</xdr:row>
      <xdr:rowOff>19050</xdr:rowOff>
    </xdr:from>
    <xdr:to>
      <xdr:col>13</xdr:col>
      <xdr:colOff>209550</xdr:colOff>
      <xdr:row>406</xdr:row>
      <xdr:rowOff>19050</xdr:rowOff>
    </xdr:to>
    <xdr:grpSp>
      <xdr:nvGrpSpPr>
        <xdr:cNvPr id="12727" name="BC$K$398#GR">
          <a:extLst>
            <a:ext uri="{FF2B5EF4-FFF2-40B4-BE49-F238E27FC236}">
              <a16:creationId xmlns:a16="http://schemas.microsoft.com/office/drawing/2014/main" id="{F82D504B-69D3-465F-8DF5-A7A06E6E315F}"/>
            </a:ext>
          </a:extLst>
        </xdr:cNvPr>
        <xdr:cNvGrpSpPr/>
      </xdr:nvGrpSpPr>
      <xdr:grpSpPr>
        <a:xfrm>
          <a:off x="2676525" y="76885800"/>
          <a:ext cx="381000" cy="381000"/>
          <a:chOff x="0" y="0"/>
          <a:chExt cx="381000" cy="381000"/>
        </a:xfrm>
      </xdr:grpSpPr>
      <xdr:grpSp>
        <xdr:nvGrpSpPr>
          <xdr:cNvPr id="12725" name="BC$K$398#GR">
            <a:extLst>
              <a:ext uri="{FF2B5EF4-FFF2-40B4-BE49-F238E27FC236}">
                <a16:creationId xmlns:a16="http://schemas.microsoft.com/office/drawing/2014/main" id="{DABE8F9B-D6B8-410F-A710-C98B58E77AEF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723" name="BC$K$398#GR">
              <a:extLst>
                <a:ext uri="{FF2B5EF4-FFF2-40B4-BE49-F238E27FC236}">
                  <a16:creationId xmlns:a16="http://schemas.microsoft.com/office/drawing/2014/main" id="{1CACA0CC-EC7D-4F8D-8085-9D10DFE4349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721" name="BC$K$398#GR">
                <a:extLst>
                  <a:ext uri="{FF2B5EF4-FFF2-40B4-BE49-F238E27FC236}">
                    <a16:creationId xmlns:a16="http://schemas.microsoft.com/office/drawing/2014/main" id="{6B8B85BA-1612-49C0-8C68-CDCD8EA5012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719" name="BC$K$398#GR">
                  <a:extLst>
                    <a:ext uri="{FF2B5EF4-FFF2-40B4-BE49-F238E27FC236}">
                      <a16:creationId xmlns:a16="http://schemas.microsoft.com/office/drawing/2014/main" id="{8BDA43E6-57A4-4A3F-BA75-2B997C53A337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717" name="BC$K$398#GR">
                    <a:extLst>
                      <a:ext uri="{FF2B5EF4-FFF2-40B4-BE49-F238E27FC236}">
                        <a16:creationId xmlns:a16="http://schemas.microsoft.com/office/drawing/2014/main" id="{C123CE98-F975-489C-94C6-E88B161D59AF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715" name="BC$K$398#GR">
                      <a:extLst>
                        <a:ext uri="{FF2B5EF4-FFF2-40B4-BE49-F238E27FC236}">
                          <a16:creationId xmlns:a16="http://schemas.microsoft.com/office/drawing/2014/main" id="{1FEB110D-D63F-4635-B3DB-3B2124463E41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713" name="BC$K$398#GR">
                        <a:extLst>
                          <a:ext uri="{FF2B5EF4-FFF2-40B4-BE49-F238E27FC236}">
                            <a16:creationId xmlns:a16="http://schemas.microsoft.com/office/drawing/2014/main" id="{803EBA87-BE34-482F-9223-DD946A9664D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711" name="BC$K$398#GR">
                          <a:extLst>
                            <a:ext uri="{FF2B5EF4-FFF2-40B4-BE49-F238E27FC236}">
                              <a16:creationId xmlns:a16="http://schemas.microsoft.com/office/drawing/2014/main" id="{A19BAF15-CA2D-439E-8B2D-A6B97960550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709" name="BC$K$398#GR">
                            <a:extLst>
                              <a:ext uri="{FF2B5EF4-FFF2-40B4-BE49-F238E27FC236}">
                                <a16:creationId xmlns:a16="http://schemas.microsoft.com/office/drawing/2014/main" id="{0E302342-65CB-4295-A5B3-C08D23628C8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707" name="BC$K$398#GR">
                              <a:extLst>
                                <a:ext uri="{FF2B5EF4-FFF2-40B4-BE49-F238E27FC236}">
                                  <a16:creationId xmlns:a16="http://schemas.microsoft.com/office/drawing/2014/main" id="{E463CE22-B565-4D64-B2C9-2925384BDE0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705" name="BC$K$398#GR">
                                <a:extLst>
                                  <a:ext uri="{FF2B5EF4-FFF2-40B4-BE49-F238E27FC236}">
                                    <a16:creationId xmlns:a16="http://schemas.microsoft.com/office/drawing/2014/main" id="{193AC707-7637-4929-AD81-08B0B90E5F5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703" name="BC$K$398#GR">
                                  <a:extLst>
                                    <a:ext uri="{FF2B5EF4-FFF2-40B4-BE49-F238E27FC236}">
                                      <a16:creationId xmlns:a16="http://schemas.microsoft.com/office/drawing/2014/main" id="{7912B5D2-7036-4B85-A34B-BA67CAABC56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701" name="BC$K$398#GR">
                                    <a:extLst>
                                      <a:ext uri="{FF2B5EF4-FFF2-40B4-BE49-F238E27FC236}">
                                        <a16:creationId xmlns:a16="http://schemas.microsoft.com/office/drawing/2014/main" id="{F9C65AB8-3111-4D52-8D62-235BBD2A6D7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699" name="BC$K$398#GR">
                                      <a:extLst>
                                        <a:ext uri="{FF2B5EF4-FFF2-40B4-BE49-F238E27FC236}">
                                          <a16:creationId xmlns:a16="http://schemas.microsoft.com/office/drawing/2014/main" id="{9268F9B3-EAC8-454A-BE7B-8ADC303EBAD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697" name="BC$K$39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B02D1D2-DFC1-43AC-9BE8-C358A96B0B3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695" name="BC$K$39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0D812C3-8371-4608-9954-F926928379A4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693" name="BC$K$39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A127AB8-71B8-4C6D-B64E-401E620C48E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691" name="BC$K$39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9B46119-971A-44F0-B621-2164BB354D0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689" name="BC$K$39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D64D1B9-3D88-4147-9D67-D648E436F186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687" name="BC$K$39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95256C5-042F-4D52-BF72-0FE490D28BA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685" name="BC$K$39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85FAAA4-602F-4649-AA33-269E85F9A7C4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683" name="BC$K$39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F4072B6-56E4-43C6-831B-89B023EBADB6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681" name="BC$K$39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AAEA898-CDDF-4D03-8E66-6E7A7D98C33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679" name="BC$K$39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2525C51-DCDB-4604-85AC-D06BFADFFC67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677" name="BC$K$39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37EAA7C-84FC-41E9-B429-7235E150828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675" name="BC$K$39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60F1C92-E774-4700-9801-53B12CC25D1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673" name="BC$K$39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31318EB-9FB5-42D4-B763-910D3E8D5C8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671" name="BC$K$39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556D6EB-1164-47A5-A163-2510E14F19A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669" name="BC$K$39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C388F1F-FC8A-4D53-8404-263961A21C4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667" name="BC$K$39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20C31E0-24F1-4A8E-A860-B61DF930D4D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665" name="BC$K$39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8EA96B4-7503-4FAD-818D-D09F5857F21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663" name="BC$K$39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7603B91-9FAD-4BDE-9568-F5B67BA0A55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661" name="BC$K$39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113230F-EEE2-450B-8C7E-9C9EBA54DB5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659" name="BC$K$39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E0CABD8-08A8-4953-A99D-0E889BC8384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657" name="BC$K$39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D59A062-256C-4141-B846-BA7DED6CB45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655" name="BC$K$39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675C2ED-44F0-45F8-9163-7CD460C35D1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653" name="BC$K$398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EAC644F-AC6F-4528-8D4E-2D6A3C25531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654" name="BC$K$398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163EA3E-A8C8-4529-933A-A78BCDB89ED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656" name="BC$K$398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A27AF02-843C-4ED8-9345-CFFD92298E2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658" name="BC$K$398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FFED00F-7E8A-42FF-A785-71113579A07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660" name="BC$K$398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84F5E454-5EB3-401D-92A3-7AFFE67F4B7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662" name="BC$K$398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F20589E-FCEE-4FFB-85F7-3C507A2D367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664" name="BC$K$398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0D929D0-E706-4CCA-87BB-C39603B860F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666" name="BC$K$398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9CC77BC-8950-4DFC-9114-A517248D9F5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668" name="BC$K$398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D44C0B5-3201-43DF-B8B9-8E7ADCF763B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670" name="BC$K$398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DB30426-17F4-4298-AA98-68CBF338295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672" name="BC$K$398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54782FD-762F-4D8D-BB5E-E344136C4A4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674" name="BC$K$398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0EBDF45-C3AB-40DF-9A6A-17BB7081E35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676" name="BC$K$398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3ACD8CE-CC5E-4416-8815-76954EBB560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678" name="BC$K$398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12ABDDA-387E-423F-B69D-910322FEBE4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680" name="BC$K$398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DA022B9-00DE-43F2-988C-201497C7E8E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682" name="BC$K$398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362D472-BCE2-4B37-BF57-EF93D50F704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684" name="BC$K$398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EA5E54B-E015-44CE-9F4C-24C620840F8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686" name="BC$K$398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131BC44-2D57-4271-9F48-60B21CB73D4C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688" name="BC$K$398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F1D482E-C5BF-4722-95B4-001854E0EEA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690" name="BC$K$398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F5B708B-CE96-4A3D-82B6-D4C6B6ADEC0D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692" name="BC$K$398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555ADD1-7007-49AB-BFCF-5FD87A885C28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694" name="BC$K$398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8D4755F-28EA-4DDE-AB39-BE8CE246A6E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696" name="BC$K$398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5E1A35C-7D1D-400F-856F-DAD4B4D27A4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698" name="BC$K$398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1EFD0A8-8795-4AC4-B55D-EAE7CA11AFB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700" name="BC$K$398#BR24">
                                      <a:extLst>
                                        <a:ext uri="{FF2B5EF4-FFF2-40B4-BE49-F238E27FC236}">
                                          <a16:creationId xmlns:a16="http://schemas.microsoft.com/office/drawing/2014/main" id="{E1A2ED7D-FFA3-4E2D-88DF-2AEE241E11C3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702" name="BC$K$398#BR25">
                                    <a:extLst>
                                      <a:ext uri="{FF2B5EF4-FFF2-40B4-BE49-F238E27FC236}">
                                        <a16:creationId xmlns:a16="http://schemas.microsoft.com/office/drawing/2014/main" id="{B41AB2EA-319D-47C3-8ADC-CD96E94E4DA9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704" name="BC$K$398#BR26">
                                  <a:extLst>
                                    <a:ext uri="{FF2B5EF4-FFF2-40B4-BE49-F238E27FC236}">
                                      <a16:creationId xmlns:a16="http://schemas.microsoft.com/office/drawing/2014/main" id="{E6153109-084A-4B13-97A5-DBC6D114114C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706" name="BC$K$398#BR27">
                                <a:extLst>
                                  <a:ext uri="{FF2B5EF4-FFF2-40B4-BE49-F238E27FC236}">
                                    <a16:creationId xmlns:a16="http://schemas.microsoft.com/office/drawing/2014/main" id="{D308FD9C-84F0-4916-996F-0642C2D4875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708" name="BC$K$398#BR28">
                              <a:extLst>
                                <a:ext uri="{FF2B5EF4-FFF2-40B4-BE49-F238E27FC236}">
                                  <a16:creationId xmlns:a16="http://schemas.microsoft.com/office/drawing/2014/main" id="{E6569891-B2E6-4171-BF9A-C36DC0B74A9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710" name="BC$K$398#BR29">
                            <a:extLst>
                              <a:ext uri="{FF2B5EF4-FFF2-40B4-BE49-F238E27FC236}">
                                <a16:creationId xmlns:a16="http://schemas.microsoft.com/office/drawing/2014/main" id="{DAAE9F2F-1BAB-4628-A0DD-E000D4BAB77A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712" name="BC$K$398#BR30">
                          <a:extLst>
                            <a:ext uri="{FF2B5EF4-FFF2-40B4-BE49-F238E27FC236}">
                              <a16:creationId xmlns:a16="http://schemas.microsoft.com/office/drawing/2014/main" id="{46E6E0DE-D6A5-4AF0-870A-67CB1D98B83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714" name="BC$K$398#BR31">
                        <a:extLst>
                          <a:ext uri="{FF2B5EF4-FFF2-40B4-BE49-F238E27FC236}">
                            <a16:creationId xmlns:a16="http://schemas.microsoft.com/office/drawing/2014/main" id="{9463401E-2EA4-4C28-8B2E-2071B5B6D53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716" name="BC$K$398#BR32">
                      <a:extLst>
                        <a:ext uri="{FF2B5EF4-FFF2-40B4-BE49-F238E27FC236}">
                          <a16:creationId xmlns:a16="http://schemas.microsoft.com/office/drawing/2014/main" id="{0C55782E-E866-4004-9CC0-826D3A1F17EA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718" name="BC$K$398#BR33">
                    <a:extLst>
                      <a:ext uri="{FF2B5EF4-FFF2-40B4-BE49-F238E27FC236}">
                        <a16:creationId xmlns:a16="http://schemas.microsoft.com/office/drawing/2014/main" id="{C60D2123-FF83-4EF1-82DC-C7D99EDFD524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720" name="BC$K$398#BR34">
                  <a:extLst>
                    <a:ext uri="{FF2B5EF4-FFF2-40B4-BE49-F238E27FC236}">
                      <a16:creationId xmlns:a16="http://schemas.microsoft.com/office/drawing/2014/main" id="{D9F197D1-29E9-48E1-A3B0-79CB6538683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722" name="BC$K$398#BR35">
                <a:extLst>
                  <a:ext uri="{FF2B5EF4-FFF2-40B4-BE49-F238E27FC236}">
                    <a16:creationId xmlns:a16="http://schemas.microsoft.com/office/drawing/2014/main" id="{71C0A4CF-C36C-4F3F-AB55-C9BA6D44007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724" name="BC$K$398#BR36">
              <a:extLst>
                <a:ext uri="{FF2B5EF4-FFF2-40B4-BE49-F238E27FC236}">
                  <a16:creationId xmlns:a16="http://schemas.microsoft.com/office/drawing/2014/main" id="{1B8BD054-7F30-46B7-B808-7C6C80AE4A7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726" name="BC$K$398#BR37">
            <a:extLst>
              <a:ext uri="{FF2B5EF4-FFF2-40B4-BE49-F238E27FC236}">
                <a16:creationId xmlns:a16="http://schemas.microsoft.com/office/drawing/2014/main" id="{11386418-DF72-4E34-9D5D-99B79EA43CC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28575</xdr:colOff>
      <xdr:row>415</xdr:row>
      <xdr:rowOff>9525</xdr:rowOff>
    </xdr:from>
    <xdr:to>
      <xdr:col>13</xdr:col>
      <xdr:colOff>190500</xdr:colOff>
      <xdr:row>417</xdr:row>
      <xdr:rowOff>9525</xdr:rowOff>
    </xdr:to>
    <xdr:grpSp>
      <xdr:nvGrpSpPr>
        <xdr:cNvPr id="12802" name="BC$K$409#GR">
          <a:extLst>
            <a:ext uri="{FF2B5EF4-FFF2-40B4-BE49-F238E27FC236}">
              <a16:creationId xmlns:a16="http://schemas.microsoft.com/office/drawing/2014/main" id="{BA77DC89-6301-4F52-A541-D5651C1088DE}"/>
            </a:ext>
          </a:extLst>
        </xdr:cNvPr>
        <xdr:cNvGrpSpPr/>
      </xdr:nvGrpSpPr>
      <xdr:grpSpPr>
        <a:xfrm>
          <a:off x="2657475" y="78971775"/>
          <a:ext cx="381000" cy="381000"/>
          <a:chOff x="0" y="0"/>
          <a:chExt cx="381000" cy="381000"/>
        </a:xfrm>
      </xdr:grpSpPr>
      <xdr:grpSp>
        <xdr:nvGrpSpPr>
          <xdr:cNvPr id="12800" name="BC$K$409#GR">
            <a:extLst>
              <a:ext uri="{FF2B5EF4-FFF2-40B4-BE49-F238E27FC236}">
                <a16:creationId xmlns:a16="http://schemas.microsoft.com/office/drawing/2014/main" id="{39C21831-5E96-46CC-9415-2D5277B46D3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798" name="BC$K$409#GR">
              <a:extLst>
                <a:ext uri="{FF2B5EF4-FFF2-40B4-BE49-F238E27FC236}">
                  <a16:creationId xmlns:a16="http://schemas.microsoft.com/office/drawing/2014/main" id="{A1897826-7FD2-4AF5-8B3D-1B740FAECA46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796" name="BC$K$409#GR">
                <a:extLst>
                  <a:ext uri="{FF2B5EF4-FFF2-40B4-BE49-F238E27FC236}">
                    <a16:creationId xmlns:a16="http://schemas.microsoft.com/office/drawing/2014/main" id="{617334A5-1B33-4AF1-A431-DC170226CCA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794" name="BC$K$409#GR">
                  <a:extLst>
                    <a:ext uri="{FF2B5EF4-FFF2-40B4-BE49-F238E27FC236}">
                      <a16:creationId xmlns:a16="http://schemas.microsoft.com/office/drawing/2014/main" id="{BBC1E33E-A221-4A38-AE26-A9561EB31A1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792" name="BC$K$409#GR">
                    <a:extLst>
                      <a:ext uri="{FF2B5EF4-FFF2-40B4-BE49-F238E27FC236}">
                        <a16:creationId xmlns:a16="http://schemas.microsoft.com/office/drawing/2014/main" id="{31B79EFA-4C2A-460D-8699-F0F09CD37936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790" name="BC$K$409#GR">
                      <a:extLst>
                        <a:ext uri="{FF2B5EF4-FFF2-40B4-BE49-F238E27FC236}">
                          <a16:creationId xmlns:a16="http://schemas.microsoft.com/office/drawing/2014/main" id="{9A82D9C1-DABA-4DC5-BA98-D046DDC80872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788" name="BC$K$409#GR">
                        <a:extLst>
                          <a:ext uri="{FF2B5EF4-FFF2-40B4-BE49-F238E27FC236}">
                            <a16:creationId xmlns:a16="http://schemas.microsoft.com/office/drawing/2014/main" id="{A3B1AC35-D628-4EDC-BC43-21B6B12139C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786" name="BC$K$409#GR">
                          <a:extLst>
                            <a:ext uri="{FF2B5EF4-FFF2-40B4-BE49-F238E27FC236}">
                              <a16:creationId xmlns:a16="http://schemas.microsoft.com/office/drawing/2014/main" id="{742BE5CB-582B-4115-8C5C-306B0D74427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784" name="BC$K$409#GR">
                            <a:extLst>
                              <a:ext uri="{FF2B5EF4-FFF2-40B4-BE49-F238E27FC236}">
                                <a16:creationId xmlns:a16="http://schemas.microsoft.com/office/drawing/2014/main" id="{6792ABCF-DD31-4151-8559-5E9DFF6C18EC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782" name="BC$K$409#GR">
                              <a:extLst>
                                <a:ext uri="{FF2B5EF4-FFF2-40B4-BE49-F238E27FC236}">
                                  <a16:creationId xmlns:a16="http://schemas.microsoft.com/office/drawing/2014/main" id="{69C67FE6-DE58-4883-AD7C-1887BA0DD5A5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780" name="BC$K$409#GR">
                                <a:extLst>
                                  <a:ext uri="{FF2B5EF4-FFF2-40B4-BE49-F238E27FC236}">
                                    <a16:creationId xmlns:a16="http://schemas.microsoft.com/office/drawing/2014/main" id="{E38F220A-FD77-408F-9351-1FC0FD67AD8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778" name="BC$K$409#GR">
                                  <a:extLst>
                                    <a:ext uri="{FF2B5EF4-FFF2-40B4-BE49-F238E27FC236}">
                                      <a16:creationId xmlns:a16="http://schemas.microsoft.com/office/drawing/2014/main" id="{EC6BA18E-DAB9-407D-A298-7DA49963FDF2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776" name="BC$K$409#GR">
                                    <a:extLst>
                                      <a:ext uri="{FF2B5EF4-FFF2-40B4-BE49-F238E27FC236}">
                                        <a16:creationId xmlns:a16="http://schemas.microsoft.com/office/drawing/2014/main" id="{C190A443-609D-48B0-920A-FE768CAFC49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774" name="BC$K$409#GR">
                                      <a:extLst>
                                        <a:ext uri="{FF2B5EF4-FFF2-40B4-BE49-F238E27FC236}">
                                          <a16:creationId xmlns:a16="http://schemas.microsoft.com/office/drawing/2014/main" id="{D00D619C-EFFC-467C-9FAF-75089EFDBBC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772" name="BC$K$40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7978DD6-5C82-4224-8190-9CAE45EAFC96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770" name="BC$K$40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2A3C26F-66D0-4A51-8279-1DF2BB6CC85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768" name="BC$K$40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CF3BD30-FE1A-487B-A2E4-26D2900BFFCE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766" name="BC$K$40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6CE6A92-E906-4268-A035-D3B5852EC0B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764" name="BC$K$40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81E0023-843D-4A1B-AFAC-D746042BC83F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762" name="BC$K$40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7548303-E138-4065-A346-31B9EDA3090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760" name="BC$K$40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7A5554E-4632-48B4-9447-346E1107A40F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758" name="BC$K$40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520EEF4-1D21-4D88-9EA2-7AA9B3FC97B2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756" name="BC$K$40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98C7FD8-4B3B-4FF7-8ACF-AD682C25CCD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754" name="BC$K$40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ED0E5E8-769D-49DE-B3C8-7862AED4D506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752" name="BC$K$40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F6F089D-70CC-44F9-9D02-848EBFD243C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750" name="BC$K$40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CFFC898-BA13-4783-9478-139A96AB741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748" name="BC$K$40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F3AB563-04E1-48EA-A4AB-ACE7D7A1AB6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746" name="BC$K$40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7926E4B-EB87-4C85-A571-C117E73F508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744" name="BC$K$40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AE1D2AD-6B80-444D-BE5B-6FE2625F926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742" name="BC$K$40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C80D9A5-CDF3-4819-9C65-22144BE4871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740" name="BC$K$40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373FB51-4CA3-4F57-B8A4-955B981A322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738" name="BC$K$40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A026F2D-696E-4848-91B4-CEE8F4921D0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736" name="BC$K$40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3285B04-C091-455F-A28E-3859EF27F2F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734" name="BC$K$40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B10AB76-7199-40B5-8163-184AC06B11C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732" name="BC$K$40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8222EE4-B9A1-4826-816D-33ABE0443FA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730" name="BC$K$40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1F62627-5ACD-4415-8693-980F987AEC7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728" name="BC$K$40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64EE691-0988-469D-A2A7-D4177546331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729" name="BC$K$40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446F816-ED99-42D1-99A6-53B7AEE8E53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731" name="BC$K$40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14AFACF-8B18-4F2C-9154-94F55C58497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733" name="BC$K$40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95DC442-6389-4BF1-A476-A61B3F982F1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735" name="BC$K$40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4FA48A5-EBC8-427B-8D39-A95618B12A9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737" name="BC$K$40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DF25E02-DE07-44CD-A302-8C975A0FCF8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739" name="BC$K$40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82EDDB2-95E0-43C2-900C-0222A31DB46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741" name="BC$K$40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1C64949-71D5-427B-B6FD-214BA72930E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743" name="BC$K$40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9654DC0-161E-4769-8803-8494DB145AD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745" name="BC$K$40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C86CAA8-53BF-4B87-A61C-DCB332F71DA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747" name="BC$K$40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B491868-14AA-48B5-ACFE-A26D8D55B85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749" name="BC$K$40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19BBA3F-E5F3-4861-9F9C-576D8B6012A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751" name="BC$K$40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5DE38170-7F5B-4576-BF0A-E04EA1CA7B6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753" name="BC$K$40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5006D4E-B897-43A9-BB4B-0EF6D8D0F32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755" name="BC$K$40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110ECBF-5725-46C5-87A6-8C6AEF350299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757" name="BC$K$40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345F0CE-AFB3-45FE-8015-DF4CD5AB2E59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759" name="BC$K$40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0A70141-B4E1-4FE5-881B-A5B630974078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761" name="BC$K$40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39DE7BF-0EA0-403F-9B57-68C0E20F7306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763" name="BC$K$40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0C7CE3C-DCC7-4FE4-AE05-6E8C4218508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765" name="BC$K$40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5FFB7C2-FE9E-4F61-B91D-3466606DE1C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767" name="BC$K$40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9ADC9D1F-5E95-4878-BE21-5D9E8CA5A69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769" name="BC$K$40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D7BD0EC-706B-41C4-8112-55561971CD4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771" name="BC$K$40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A1F5880-809D-49D5-8C62-32928792F09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773" name="BC$K$40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7E2672B-14F6-41C5-9997-592143109EF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775" name="BC$K$40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8EEBFA3D-BC25-41F0-9D7D-EB486AD8337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777" name="BC$K$409#BR25">
                                    <a:extLst>
                                      <a:ext uri="{FF2B5EF4-FFF2-40B4-BE49-F238E27FC236}">
                                        <a16:creationId xmlns:a16="http://schemas.microsoft.com/office/drawing/2014/main" id="{95486251-494A-467F-9D4B-48CBBB8FB656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779" name="BC$K$409#BR26">
                                  <a:extLst>
                                    <a:ext uri="{FF2B5EF4-FFF2-40B4-BE49-F238E27FC236}">
                                      <a16:creationId xmlns:a16="http://schemas.microsoft.com/office/drawing/2014/main" id="{3BEEFD9C-4CBA-4659-80B3-D0D8627DD7FC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781" name="BC$K$409#BR27">
                                <a:extLst>
                                  <a:ext uri="{FF2B5EF4-FFF2-40B4-BE49-F238E27FC236}">
                                    <a16:creationId xmlns:a16="http://schemas.microsoft.com/office/drawing/2014/main" id="{70CA2366-0475-417E-AF4D-ED7CE99C7EB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783" name="BC$K$409#BR28">
                              <a:extLst>
                                <a:ext uri="{FF2B5EF4-FFF2-40B4-BE49-F238E27FC236}">
                                  <a16:creationId xmlns:a16="http://schemas.microsoft.com/office/drawing/2014/main" id="{4C91707F-8F7C-4553-A7B1-BBC35288E3A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785" name="BC$K$409#BR29">
                            <a:extLst>
                              <a:ext uri="{FF2B5EF4-FFF2-40B4-BE49-F238E27FC236}">
                                <a16:creationId xmlns:a16="http://schemas.microsoft.com/office/drawing/2014/main" id="{BFEB5682-32DE-4A42-94A2-9E59EF68F281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787" name="BC$K$409#BR30">
                          <a:extLst>
                            <a:ext uri="{FF2B5EF4-FFF2-40B4-BE49-F238E27FC236}">
                              <a16:creationId xmlns:a16="http://schemas.microsoft.com/office/drawing/2014/main" id="{568F31F4-FA9E-4BB3-93EE-27D9EFDA2C7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789" name="BC$K$409#BR31">
                        <a:extLst>
                          <a:ext uri="{FF2B5EF4-FFF2-40B4-BE49-F238E27FC236}">
                            <a16:creationId xmlns:a16="http://schemas.microsoft.com/office/drawing/2014/main" id="{BBBF036F-C4BA-4D99-95BC-E271F9CB25DC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791" name="BC$K$409#BR32">
                      <a:extLst>
                        <a:ext uri="{FF2B5EF4-FFF2-40B4-BE49-F238E27FC236}">
                          <a16:creationId xmlns:a16="http://schemas.microsoft.com/office/drawing/2014/main" id="{B894B09E-BED8-4D32-8FD5-BE1C329EE07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793" name="BC$K$409#BR33">
                    <a:extLst>
                      <a:ext uri="{FF2B5EF4-FFF2-40B4-BE49-F238E27FC236}">
                        <a16:creationId xmlns:a16="http://schemas.microsoft.com/office/drawing/2014/main" id="{A96EE0A1-0796-4335-85D2-1D14A3B7908B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795" name="BC$K$409#BR34">
                  <a:extLst>
                    <a:ext uri="{FF2B5EF4-FFF2-40B4-BE49-F238E27FC236}">
                      <a16:creationId xmlns:a16="http://schemas.microsoft.com/office/drawing/2014/main" id="{9167EE69-6872-4939-8CEB-3E63CCEF4D9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797" name="BC$K$409#BR35">
                <a:extLst>
                  <a:ext uri="{FF2B5EF4-FFF2-40B4-BE49-F238E27FC236}">
                    <a16:creationId xmlns:a16="http://schemas.microsoft.com/office/drawing/2014/main" id="{167D6534-E08C-480F-9B2A-2AC5584C6891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799" name="BC$K$409#BR36">
              <a:extLst>
                <a:ext uri="{FF2B5EF4-FFF2-40B4-BE49-F238E27FC236}">
                  <a16:creationId xmlns:a16="http://schemas.microsoft.com/office/drawing/2014/main" id="{DF13C5BE-2B0B-4B27-9583-290DCA6D43A6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801" name="BC$K$409#BR37">
            <a:extLst>
              <a:ext uri="{FF2B5EF4-FFF2-40B4-BE49-F238E27FC236}">
                <a16:creationId xmlns:a16="http://schemas.microsoft.com/office/drawing/2014/main" id="{6CE8B87F-C5F5-4C0E-A3D8-10B0DD2E6AD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19050</xdr:colOff>
      <xdr:row>415</xdr:row>
      <xdr:rowOff>0</xdr:rowOff>
    </xdr:from>
    <xdr:to>
      <xdr:col>27</xdr:col>
      <xdr:colOff>180975</xdr:colOff>
      <xdr:row>417</xdr:row>
      <xdr:rowOff>0</xdr:rowOff>
    </xdr:to>
    <xdr:grpSp>
      <xdr:nvGrpSpPr>
        <xdr:cNvPr id="12877" name="BC$Y$409#GR">
          <a:extLst>
            <a:ext uri="{FF2B5EF4-FFF2-40B4-BE49-F238E27FC236}">
              <a16:creationId xmlns:a16="http://schemas.microsoft.com/office/drawing/2014/main" id="{F109C481-6A8F-4CEE-8B15-A0FF74967E87}"/>
            </a:ext>
          </a:extLst>
        </xdr:cNvPr>
        <xdr:cNvGrpSpPr/>
      </xdr:nvGrpSpPr>
      <xdr:grpSpPr>
        <a:xfrm>
          <a:off x="5762625" y="78962250"/>
          <a:ext cx="381000" cy="381000"/>
          <a:chOff x="0" y="0"/>
          <a:chExt cx="381000" cy="381000"/>
        </a:xfrm>
      </xdr:grpSpPr>
      <xdr:grpSp>
        <xdr:nvGrpSpPr>
          <xdr:cNvPr id="12875" name="BC$Y$409#GR">
            <a:extLst>
              <a:ext uri="{FF2B5EF4-FFF2-40B4-BE49-F238E27FC236}">
                <a16:creationId xmlns:a16="http://schemas.microsoft.com/office/drawing/2014/main" id="{58CE3F1F-0D49-4DFC-92DD-E9F8C895FBFF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873" name="BC$Y$409#GR">
              <a:extLst>
                <a:ext uri="{FF2B5EF4-FFF2-40B4-BE49-F238E27FC236}">
                  <a16:creationId xmlns:a16="http://schemas.microsoft.com/office/drawing/2014/main" id="{7AE11D41-78BD-4542-A980-204D2E19A19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871" name="BC$Y$409#GR">
                <a:extLst>
                  <a:ext uri="{FF2B5EF4-FFF2-40B4-BE49-F238E27FC236}">
                    <a16:creationId xmlns:a16="http://schemas.microsoft.com/office/drawing/2014/main" id="{7F38232B-FBA1-4A49-8309-506DFCB44FD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869" name="BC$Y$409#GR">
                  <a:extLst>
                    <a:ext uri="{FF2B5EF4-FFF2-40B4-BE49-F238E27FC236}">
                      <a16:creationId xmlns:a16="http://schemas.microsoft.com/office/drawing/2014/main" id="{4784E629-C5F8-43C1-9C13-D020B8F20DAC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867" name="BC$Y$409#GR">
                    <a:extLst>
                      <a:ext uri="{FF2B5EF4-FFF2-40B4-BE49-F238E27FC236}">
                        <a16:creationId xmlns:a16="http://schemas.microsoft.com/office/drawing/2014/main" id="{0FF25D64-C4A2-46C4-895A-4281867B4D22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865" name="BC$Y$409#GR">
                      <a:extLst>
                        <a:ext uri="{FF2B5EF4-FFF2-40B4-BE49-F238E27FC236}">
                          <a16:creationId xmlns:a16="http://schemas.microsoft.com/office/drawing/2014/main" id="{9465291E-F9FC-43AA-95F6-3D660C846C87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863" name="BC$Y$409#GR">
                        <a:extLst>
                          <a:ext uri="{FF2B5EF4-FFF2-40B4-BE49-F238E27FC236}">
                            <a16:creationId xmlns:a16="http://schemas.microsoft.com/office/drawing/2014/main" id="{D4510B96-AAFB-4027-8EEA-6D1F5BD15EF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861" name="BC$Y$409#GR">
                          <a:extLst>
                            <a:ext uri="{FF2B5EF4-FFF2-40B4-BE49-F238E27FC236}">
                              <a16:creationId xmlns:a16="http://schemas.microsoft.com/office/drawing/2014/main" id="{60285A6D-1B5A-4629-BE64-A9803EFFE13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859" name="BC$Y$409#GR">
                            <a:extLst>
                              <a:ext uri="{FF2B5EF4-FFF2-40B4-BE49-F238E27FC236}">
                                <a16:creationId xmlns:a16="http://schemas.microsoft.com/office/drawing/2014/main" id="{D992E608-C056-41D7-8E54-BC86B87AC2E1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857" name="BC$Y$409#GR">
                              <a:extLst>
                                <a:ext uri="{FF2B5EF4-FFF2-40B4-BE49-F238E27FC236}">
                                  <a16:creationId xmlns:a16="http://schemas.microsoft.com/office/drawing/2014/main" id="{8FC3A175-1767-4F09-A2FC-7B1E2B415E5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855" name="BC$Y$409#GR">
                                <a:extLst>
                                  <a:ext uri="{FF2B5EF4-FFF2-40B4-BE49-F238E27FC236}">
                                    <a16:creationId xmlns:a16="http://schemas.microsoft.com/office/drawing/2014/main" id="{F2738927-79C5-47AA-877A-C348A2E0716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853" name="BC$Y$409#GR">
                                  <a:extLst>
                                    <a:ext uri="{FF2B5EF4-FFF2-40B4-BE49-F238E27FC236}">
                                      <a16:creationId xmlns:a16="http://schemas.microsoft.com/office/drawing/2014/main" id="{FC0DF0CA-E779-4996-813F-24A05FCFFBA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851" name="BC$Y$409#GR">
                                    <a:extLst>
                                      <a:ext uri="{FF2B5EF4-FFF2-40B4-BE49-F238E27FC236}">
                                        <a16:creationId xmlns:a16="http://schemas.microsoft.com/office/drawing/2014/main" id="{49C84871-DCE7-4F94-821A-DCAEF49ACF23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849" name="BC$Y$409#GR">
                                      <a:extLst>
                                        <a:ext uri="{FF2B5EF4-FFF2-40B4-BE49-F238E27FC236}">
                                          <a16:creationId xmlns:a16="http://schemas.microsoft.com/office/drawing/2014/main" id="{446C6DBA-3ED3-42AC-A802-E052A8A43861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847" name="BC$Y$40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5332D46-0F47-43B1-9680-152DCFA098C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845" name="BC$Y$40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F934C8A-0A1C-4B9A-9035-2DA123DB27C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843" name="BC$Y$40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C1905EB-FA04-47F2-AC0F-4D92904F9EB4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841" name="BC$Y$40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5A5050E-FD01-4FB5-90AD-85E0DB08DE1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39" name="BC$Y$40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6CBFABC-7FD8-4C78-98AF-A9511FC08E52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7" name="BC$Y$40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6D5C86F-41E6-42D2-A33F-EABE451B9F8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835" name="BC$Y$40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6758A24-469D-4839-BE4C-E87EC601FE87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833" name="BC$Y$40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4502727-26D8-48E0-A96F-A38703194268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831" name="BC$Y$40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EA956DC-A862-4C82-B655-338853F6903F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829" name="BC$Y$40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A157B2E-0AC7-4B97-B9C5-EEDA355816A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827" name="BC$Y$40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2380563-140B-4855-BD27-039FB25E734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825" name="BC$Y$40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420F188-B2E0-47E0-840E-9E798686587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823" name="BC$Y$40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4A29493-674A-490C-9C39-479F72614E83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821" name="BC$Y$40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547BA43-076B-4AF9-8713-B15A72A0465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819" name="BC$Y$40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AE0764B-B51E-44F8-9FEC-9BBD0BEBA5C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817" name="BC$Y$40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C0177D1-19D5-4850-A0DA-88587E7E903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815" name="BC$Y$40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8EC16D8-009A-4C30-87A5-96DEADB129F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813" name="BC$Y$40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EE19F4C-B900-4B2D-9373-CEA206E8365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811" name="BC$Y$40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DB66A3F-7CD7-4162-B3E6-3573961743F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809" name="BC$Y$40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F623DA7-DE99-4879-BE3C-8203260DDCE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807" name="BC$Y$40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DFC3997-817C-4148-8E19-B183B1B6E7F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805" name="BC$Y$40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CD0D2FE-4284-43D4-9EC7-70113CB8F5A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803" name="BC$Y$40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1F83C49-EDFC-4388-9DA6-490BDD04B3B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804" name="BC$Y$40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7B9E606-081D-4491-ABFE-46513F1E6A6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806" name="BC$Y$40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87CB486-D4D6-44AD-8535-F7B5692B7843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808" name="BC$Y$40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278AC68-5153-4081-91A1-3F8CD2423C0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810" name="BC$Y$40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E2F8E7A-5043-45B8-9F1C-3E987F29BE2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812" name="BC$Y$40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9F0ECA9-48F0-4989-954D-D1CEB6A947C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814" name="BC$Y$40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B8DCDDC-BB65-4A74-8833-37E296AED40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816" name="BC$Y$40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087FA63-34E9-4EB2-96CF-ACBF320201E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818" name="BC$Y$40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CFE5FD4-FF58-48AE-B449-F9AE45FDBA6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820" name="BC$Y$40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4EA17F6-3CD5-49C0-999E-FAC87AB9EAC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822" name="BC$Y$40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F8399AA-4396-46B0-AA6B-A66C04DB6AD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824" name="BC$Y$40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1BA35C6-F243-463E-B891-1DC5963961E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826" name="BC$Y$40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98CB18D-56B6-45B7-A2B3-5AC2C8E0C14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828" name="BC$Y$40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53B9D31-0EDC-46E0-9ACD-7CE9A7A5F34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830" name="BC$Y$40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158759A-4A87-46C3-B747-566D797BBA3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832" name="BC$Y$40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D15B4D8-AB77-46D6-BB82-BBFB9F16699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834" name="BC$Y$40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4974AC0-1845-4ED1-B2C0-49E6F58F099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836" name="BC$Y$40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E814CCA-C4E5-4120-B0C1-7257D89C7F7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838" name="BC$Y$40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CE03E19-71A6-4F56-BFB6-DCB803C6A0E4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840" name="BC$Y$40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6B1D372-799D-4515-B08B-FC25E10EB4F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842" name="BC$Y$40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5C09C9D-3AAA-4B78-87AE-0E63F230A1C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844" name="BC$Y$40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11F271D-B7DD-455E-A5F2-10577FD7268D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846" name="BC$Y$40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555C585-9B9F-4BDA-9430-1DE3E328F9A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848" name="BC$Y$40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526BC55-D1A1-42BF-ABB1-F2649653420A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850" name="BC$Y$40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E46175F8-110D-494B-A604-D7C67DDA302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852" name="BC$Y$409#BR25">
                                    <a:extLst>
                                      <a:ext uri="{FF2B5EF4-FFF2-40B4-BE49-F238E27FC236}">
                                        <a16:creationId xmlns:a16="http://schemas.microsoft.com/office/drawing/2014/main" id="{B1AC6E5D-2B85-4F1C-9DC2-B6E2FD17ED6D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854" name="BC$Y$409#BR26">
                                  <a:extLst>
                                    <a:ext uri="{FF2B5EF4-FFF2-40B4-BE49-F238E27FC236}">
                                      <a16:creationId xmlns:a16="http://schemas.microsoft.com/office/drawing/2014/main" id="{73B31F28-ED75-429E-91DC-482B77D2D481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856" name="BC$Y$409#BR27">
                                <a:extLst>
                                  <a:ext uri="{FF2B5EF4-FFF2-40B4-BE49-F238E27FC236}">
                                    <a16:creationId xmlns:a16="http://schemas.microsoft.com/office/drawing/2014/main" id="{1143F2E5-3ED9-4E06-A66D-6BA762E9195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858" name="BC$Y$409#BR28">
                              <a:extLst>
                                <a:ext uri="{FF2B5EF4-FFF2-40B4-BE49-F238E27FC236}">
                                  <a16:creationId xmlns:a16="http://schemas.microsoft.com/office/drawing/2014/main" id="{01BCCA23-7498-48DD-A92E-A8B1270B075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860" name="BC$Y$409#BR29">
                            <a:extLst>
                              <a:ext uri="{FF2B5EF4-FFF2-40B4-BE49-F238E27FC236}">
                                <a16:creationId xmlns:a16="http://schemas.microsoft.com/office/drawing/2014/main" id="{82C174E2-D953-4824-A9C1-B55B17F7486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862" name="BC$Y$409#BR30">
                          <a:extLst>
                            <a:ext uri="{FF2B5EF4-FFF2-40B4-BE49-F238E27FC236}">
                              <a16:creationId xmlns:a16="http://schemas.microsoft.com/office/drawing/2014/main" id="{F3A3E88C-2398-403E-9679-38E7D810435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864" name="BC$Y$409#BR31">
                        <a:extLst>
                          <a:ext uri="{FF2B5EF4-FFF2-40B4-BE49-F238E27FC236}">
                            <a16:creationId xmlns:a16="http://schemas.microsoft.com/office/drawing/2014/main" id="{BEAC4E30-4A88-4DEC-BB9C-F4AF4C212FF5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866" name="BC$Y$409#BR32">
                      <a:extLst>
                        <a:ext uri="{FF2B5EF4-FFF2-40B4-BE49-F238E27FC236}">
                          <a16:creationId xmlns:a16="http://schemas.microsoft.com/office/drawing/2014/main" id="{B0838571-802F-4410-A9A5-DB98956FBAA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868" name="BC$Y$409#BR33">
                    <a:extLst>
                      <a:ext uri="{FF2B5EF4-FFF2-40B4-BE49-F238E27FC236}">
                        <a16:creationId xmlns:a16="http://schemas.microsoft.com/office/drawing/2014/main" id="{C6151C8E-FE29-41B0-96B8-408B1BF6B16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870" name="BC$Y$409#BR34">
                  <a:extLst>
                    <a:ext uri="{FF2B5EF4-FFF2-40B4-BE49-F238E27FC236}">
                      <a16:creationId xmlns:a16="http://schemas.microsoft.com/office/drawing/2014/main" id="{44A3807D-6A2B-4F25-AC09-17C4929F76F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872" name="BC$Y$409#BR35">
                <a:extLst>
                  <a:ext uri="{FF2B5EF4-FFF2-40B4-BE49-F238E27FC236}">
                    <a16:creationId xmlns:a16="http://schemas.microsoft.com/office/drawing/2014/main" id="{673314FA-1F99-411C-BA16-64311EDCEAE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874" name="BC$Y$409#BR36">
              <a:extLst>
                <a:ext uri="{FF2B5EF4-FFF2-40B4-BE49-F238E27FC236}">
                  <a16:creationId xmlns:a16="http://schemas.microsoft.com/office/drawing/2014/main" id="{5EF32EF3-FFF6-4C4A-B5C7-326FC84054B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876" name="BC$Y$409#BR37">
            <a:extLst>
              <a:ext uri="{FF2B5EF4-FFF2-40B4-BE49-F238E27FC236}">
                <a16:creationId xmlns:a16="http://schemas.microsoft.com/office/drawing/2014/main" id="{B86019A4-B679-4885-9092-61AB6DC4A4C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426</xdr:row>
      <xdr:rowOff>19050</xdr:rowOff>
    </xdr:from>
    <xdr:to>
      <xdr:col>27</xdr:col>
      <xdr:colOff>200025</xdr:colOff>
      <xdr:row>428</xdr:row>
      <xdr:rowOff>19050</xdr:rowOff>
    </xdr:to>
    <xdr:grpSp>
      <xdr:nvGrpSpPr>
        <xdr:cNvPr id="12952" name="BC$Y$420#GR">
          <a:extLst>
            <a:ext uri="{FF2B5EF4-FFF2-40B4-BE49-F238E27FC236}">
              <a16:creationId xmlns:a16="http://schemas.microsoft.com/office/drawing/2014/main" id="{4C627D74-8C9E-4D84-8E1A-D2A8BF2CA6D2}"/>
            </a:ext>
          </a:extLst>
        </xdr:cNvPr>
        <xdr:cNvGrpSpPr/>
      </xdr:nvGrpSpPr>
      <xdr:grpSpPr>
        <a:xfrm>
          <a:off x="5781675" y="81076800"/>
          <a:ext cx="381000" cy="381000"/>
          <a:chOff x="0" y="0"/>
          <a:chExt cx="381000" cy="381000"/>
        </a:xfrm>
      </xdr:grpSpPr>
      <xdr:grpSp>
        <xdr:nvGrpSpPr>
          <xdr:cNvPr id="12950" name="BC$Y$420#GR">
            <a:extLst>
              <a:ext uri="{FF2B5EF4-FFF2-40B4-BE49-F238E27FC236}">
                <a16:creationId xmlns:a16="http://schemas.microsoft.com/office/drawing/2014/main" id="{863B523E-0DC0-4662-84C6-FEB54C5E374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2948" name="BC$Y$420#GR">
              <a:extLst>
                <a:ext uri="{FF2B5EF4-FFF2-40B4-BE49-F238E27FC236}">
                  <a16:creationId xmlns:a16="http://schemas.microsoft.com/office/drawing/2014/main" id="{FD7CC0B3-A33E-4E9B-AC14-65426EE70787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2946" name="BC$Y$420#GR">
                <a:extLst>
                  <a:ext uri="{FF2B5EF4-FFF2-40B4-BE49-F238E27FC236}">
                    <a16:creationId xmlns:a16="http://schemas.microsoft.com/office/drawing/2014/main" id="{31857E21-CBA6-4CB0-813E-E18662AED67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2944" name="BC$Y$420#GR">
                  <a:extLst>
                    <a:ext uri="{FF2B5EF4-FFF2-40B4-BE49-F238E27FC236}">
                      <a16:creationId xmlns:a16="http://schemas.microsoft.com/office/drawing/2014/main" id="{F0B95914-BB77-48C8-A5A4-E4B99E64DAEA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2942" name="BC$Y$420#GR">
                    <a:extLst>
                      <a:ext uri="{FF2B5EF4-FFF2-40B4-BE49-F238E27FC236}">
                        <a16:creationId xmlns:a16="http://schemas.microsoft.com/office/drawing/2014/main" id="{51CA6980-6A25-4966-A7DC-901F52924807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2940" name="BC$Y$420#GR">
                      <a:extLst>
                        <a:ext uri="{FF2B5EF4-FFF2-40B4-BE49-F238E27FC236}">
                          <a16:creationId xmlns:a16="http://schemas.microsoft.com/office/drawing/2014/main" id="{EABD72BE-04C1-41F3-854A-6102281176B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2938" name="BC$Y$420#GR">
                        <a:extLst>
                          <a:ext uri="{FF2B5EF4-FFF2-40B4-BE49-F238E27FC236}">
                            <a16:creationId xmlns:a16="http://schemas.microsoft.com/office/drawing/2014/main" id="{177455F5-88B7-4AED-BFDB-024C743EE32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2936" name="BC$Y$420#GR">
                          <a:extLst>
                            <a:ext uri="{FF2B5EF4-FFF2-40B4-BE49-F238E27FC236}">
                              <a16:creationId xmlns:a16="http://schemas.microsoft.com/office/drawing/2014/main" id="{34027F92-25A7-4F2D-B12E-8B36F21AFF03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2934" name="BC$Y$420#GR">
                            <a:extLst>
                              <a:ext uri="{FF2B5EF4-FFF2-40B4-BE49-F238E27FC236}">
                                <a16:creationId xmlns:a16="http://schemas.microsoft.com/office/drawing/2014/main" id="{63708905-E9D3-49B5-84FE-DC26F5DB7BA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2932" name="BC$Y$420#GR">
                              <a:extLst>
                                <a:ext uri="{FF2B5EF4-FFF2-40B4-BE49-F238E27FC236}">
                                  <a16:creationId xmlns:a16="http://schemas.microsoft.com/office/drawing/2014/main" id="{8CC08197-C259-4EDE-AC58-0C4211467CBB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2930" name="BC$Y$420#GR">
                                <a:extLst>
                                  <a:ext uri="{FF2B5EF4-FFF2-40B4-BE49-F238E27FC236}">
                                    <a16:creationId xmlns:a16="http://schemas.microsoft.com/office/drawing/2014/main" id="{CC164003-BAB4-46AB-90B1-69F106E8548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2928" name="BC$Y$420#GR">
                                  <a:extLst>
                                    <a:ext uri="{FF2B5EF4-FFF2-40B4-BE49-F238E27FC236}">
                                      <a16:creationId xmlns:a16="http://schemas.microsoft.com/office/drawing/2014/main" id="{09A3AC9A-AFD9-4C45-BF87-92A12D0AEB2C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2926" name="BC$Y$420#GR">
                                    <a:extLst>
                                      <a:ext uri="{FF2B5EF4-FFF2-40B4-BE49-F238E27FC236}">
                                        <a16:creationId xmlns:a16="http://schemas.microsoft.com/office/drawing/2014/main" id="{1DAD409B-C4E3-4949-85AC-AE48032BECD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924" name="BC$Y$420#GR">
                                      <a:extLst>
                                        <a:ext uri="{FF2B5EF4-FFF2-40B4-BE49-F238E27FC236}">
                                          <a16:creationId xmlns:a16="http://schemas.microsoft.com/office/drawing/2014/main" id="{262084F7-AA74-46DA-99EC-E5223D756C5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922" name="BC$Y$42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1077050-E653-45AB-897F-DEE436255455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920" name="BC$Y$42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7ABA28B-D660-4D37-9BDA-05064DEBA4A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918" name="BC$Y$42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7D69CE9-DDC6-4B9F-9A0F-813D0F112F03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916" name="BC$Y$42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64004E3-2A10-4014-8FC1-5FFBE34F9C4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914" name="BC$Y$42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FF0B4F8-7747-41D6-B775-E314931B731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912" name="BC$Y$42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8560621-46F3-4FCF-B78A-5A93EC16061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910" name="BC$Y$42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D4E77B9-48FC-4617-936A-62689DBBBC3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908" name="BC$Y$42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0E552A9-691D-47BA-BF29-5B78C54B382B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906" name="BC$Y$42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0AC7BBC-BDF3-4CB4-94C8-D8AE23D098AD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904" name="BC$Y$42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501A420-8F4C-4F2D-8871-3A797731AB0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902" name="BC$Y$42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41C9CA2-0C8C-4454-9ABC-D58FC1D82F8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900" name="BC$Y$42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7353626-805A-4581-BBD1-2C379A2E327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898" name="BC$Y$42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DAD839B-FFFD-42B6-A2B6-216CBA17609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896" name="BC$Y$42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4649E0C-C791-4EB3-AE71-37B53B26ECB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894" name="BC$Y$42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666C59E-FFC7-49A1-86F2-053551E9401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892" name="BC$Y$42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B3520EC-01E4-4A6F-967D-DD15D7E4A57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890" name="BC$Y$42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2909227-62DB-420E-97D8-50F43381539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888" name="BC$Y$42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ECDD12B-7728-4105-B864-01A55183CF6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886" name="BC$Y$42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7F34418-B7A3-40CC-8FD8-A4B80151E5A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884" name="BC$Y$42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FC406B1-7752-4317-862B-95609F3BD68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882" name="BC$Y$42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037213A-C94C-465C-A986-26617BB5928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880" name="BC$Y$42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94138B7-655B-49C4-9F96-08657549365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878" name="BC$Y$420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DF2CEB0-257E-4F9F-9CEA-9E95ECA91EC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879" name="BC$Y$420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8B1C894-0486-4D04-8E1D-E4A138968F4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881" name="BC$Y$420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EAC5171-DBE3-4E4C-A954-A1CE50536D0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883" name="BC$Y$420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FF43F02-05CE-4AF5-8546-35D6E3C78E4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885" name="BC$Y$420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C72E709-7CBF-44FE-9E2C-505BFBC9B16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887" name="BC$Y$420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7985BD3-91C2-4F66-87BC-43A8315F4DA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889" name="BC$Y$420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D6B90CE-A602-44C5-8DF8-5EFC833B0F3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891" name="BC$Y$420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A2E0727-9CF3-4A20-B2E7-EF7ABB34863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893" name="BC$Y$420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D2556CC-F562-423E-BA23-E7208624A42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895" name="BC$Y$420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BFBC5529-5629-456D-9276-90EFAA35202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897" name="BC$Y$420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C5A2116-4838-412A-A88A-599633D1FAF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899" name="BC$Y$420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2E5CF0B-30A0-4074-9364-EBD36B26C4D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901" name="BC$Y$420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A976304-10AC-47FF-836E-17C8F6592D0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903" name="BC$Y$420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298D3CD-B8FF-48D4-B843-1E49D0BA9E8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905" name="BC$Y$420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070831F-1F0A-4B27-A4C1-D5B396C75AE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907" name="BC$Y$420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9478424-0B6C-4D44-B2C4-C8ABC7584BF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909" name="BC$Y$420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1F419F2-7D3C-49F0-9787-F11C37ADA913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911" name="BC$Y$420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8CCFAE0-C169-4441-9B23-FE2169C6585F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913" name="BC$Y$420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89F3FD0-6DC8-4675-950B-3E3AB4F12C39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915" name="BC$Y$420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53DC6F7-0827-4539-8474-A31C4997645D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917" name="BC$Y$420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19BA9C2-0F58-46FE-95F6-1B7365FB8EC4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919" name="BC$Y$420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5A45A72-C4A3-459A-ABF9-1FCB22069743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921" name="BC$Y$420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A533304-B045-4BED-9174-3B7AAE6873B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923" name="BC$Y$420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722D836-FBFF-4058-83C2-8FDF986E9F7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2925" name="BC$Y$420#BR24">
                                      <a:extLst>
                                        <a:ext uri="{FF2B5EF4-FFF2-40B4-BE49-F238E27FC236}">
                                          <a16:creationId xmlns:a16="http://schemas.microsoft.com/office/drawing/2014/main" id="{A8293906-74AD-436C-A286-4DD6C8D073C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2927" name="BC$Y$420#BR25">
                                    <a:extLst>
                                      <a:ext uri="{FF2B5EF4-FFF2-40B4-BE49-F238E27FC236}">
                                        <a16:creationId xmlns:a16="http://schemas.microsoft.com/office/drawing/2014/main" id="{69F5D5DE-3C94-4CD0-95CF-8A2CD38E73D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2929" name="BC$Y$420#BR26">
                                  <a:extLst>
                                    <a:ext uri="{FF2B5EF4-FFF2-40B4-BE49-F238E27FC236}">
                                      <a16:creationId xmlns:a16="http://schemas.microsoft.com/office/drawing/2014/main" id="{FF3A6466-ED91-4199-8BDA-DC87DCD67C21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2931" name="BC$Y$420#BR27">
                                <a:extLst>
                                  <a:ext uri="{FF2B5EF4-FFF2-40B4-BE49-F238E27FC236}">
                                    <a16:creationId xmlns:a16="http://schemas.microsoft.com/office/drawing/2014/main" id="{5B06924B-FD78-4565-A811-0A009C1ECE0A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2933" name="BC$Y$420#BR28">
                              <a:extLst>
                                <a:ext uri="{FF2B5EF4-FFF2-40B4-BE49-F238E27FC236}">
                                  <a16:creationId xmlns:a16="http://schemas.microsoft.com/office/drawing/2014/main" id="{9306F33D-C3C4-4A0D-BBF3-D5A3C591F41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2935" name="BC$Y$420#BR29">
                            <a:extLst>
                              <a:ext uri="{FF2B5EF4-FFF2-40B4-BE49-F238E27FC236}">
                                <a16:creationId xmlns:a16="http://schemas.microsoft.com/office/drawing/2014/main" id="{4F342339-88DE-403C-99A7-27217950314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2937" name="BC$Y$420#BR30">
                          <a:extLst>
                            <a:ext uri="{FF2B5EF4-FFF2-40B4-BE49-F238E27FC236}">
                              <a16:creationId xmlns:a16="http://schemas.microsoft.com/office/drawing/2014/main" id="{6850C720-139D-43BD-B1D8-B6C21D3E562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2939" name="BC$Y$420#BR31">
                        <a:extLst>
                          <a:ext uri="{FF2B5EF4-FFF2-40B4-BE49-F238E27FC236}">
                            <a16:creationId xmlns:a16="http://schemas.microsoft.com/office/drawing/2014/main" id="{EEB662AE-3E49-4058-AA41-DD5E54603B29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2941" name="BC$Y$420#BR32">
                      <a:extLst>
                        <a:ext uri="{FF2B5EF4-FFF2-40B4-BE49-F238E27FC236}">
                          <a16:creationId xmlns:a16="http://schemas.microsoft.com/office/drawing/2014/main" id="{1B1BC156-4EF7-4F9A-83B6-B8D11BFB8D7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2943" name="BC$Y$420#BR33">
                    <a:extLst>
                      <a:ext uri="{FF2B5EF4-FFF2-40B4-BE49-F238E27FC236}">
                        <a16:creationId xmlns:a16="http://schemas.microsoft.com/office/drawing/2014/main" id="{A870BA10-92F2-46C2-A503-0C5866455F9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2945" name="BC$Y$420#BR34">
                  <a:extLst>
                    <a:ext uri="{FF2B5EF4-FFF2-40B4-BE49-F238E27FC236}">
                      <a16:creationId xmlns:a16="http://schemas.microsoft.com/office/drawing/2014/main" id="{5E86C6D9-BF11-42BA-AEAD-ADBC38E7317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2947" name="BC$Y$420#BR35">
                <a:extLst>
                  <a:ext uri="{FF2B5EF4-FFF2-40B4-BE49-F238E27FC236}">
                    <a16:creationId xmlns:a16="http://schemas.microsoft.com/office/drawing/2014/main" id="{3D0701A5-C5BB-45F7-8AFB-94437014447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2949" name="BC$Y$420#BR36">
              <a:extLst>
                <a:ext uri="{FF2B5EF4-FFF2-40B4-BE49-F238E27FC236}">
                  <a16:creationId xmlns:a16="http://schemas.microsoft.com/office/drawing/2014/main" id="{3D021D69-454D-4208-8F8A-98B6DF369F01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951" name="BC$Y$420#BR37">
            <a:extLst>
              <a:ext uri="{FF2B5EF4-FFF2-40B4-BE49-F238E27FC236}">
                <a16:creationId xmlns:a16="http://schemas.microsoft.com/office/drawing/2014/main" id="{5C9308E2-853D-4C59-B75D-B5873BD8C1B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426</xdr:row>
      <xdr:rowOff>9525</xdr:rowOff>
    </xdr:from>
    <xdr:to>
      <xdr:col>13</xdr:col>
      <xdr:colOff>200025</xdr:colOff>
      <xdr:row>428</xdr:row>
      <xdr:rowOff>9525</xdr:rowOff>
    </xdr:to>
    <xdr:grpSp>
      <xdr:nvGrpSpPr>
        <xdr:cNvPr id="13027" name="BC$K$420#GR">
          <a:extLst>
            <a:ext uri="{FF2B5EF4-FFF2-40B4-BE49-F238E27FC236}">
              <a16:creationId xmlns:a16="http://schemas.microsoft.com/office/drawing/2014/main" id="{347CC2DE-F369-4B13-9B23-71FC7EF9B813}"/>
            </a:ext>
          </a:extLst>
        </xdr:cNvPr>
        <xdr:cNvGrpSpPr/>
      </xdr:nvGrpSpPr>
      <xdr:grpSpPr>
        <a:xfrm>
          <a:off x="2667000" y="81067275"/>
          <a:ext cx="381000" cy="381000"/>
          <a:chOff x="0" y="0"/>
          <a:chExt cx="381000" cy="381000"/>
        </a:xfrm>
      </xdr:grpSpPr>
      <xdr:grpSp>
        <xdr:nvGrpSpPr>
          <xdr:cNvPr id="13025" name="BC$K$420#GR">
            <a:extLst>
              <a:ext uri="{FF2B5EF4-FFF2-40B4-BE49-F238E27FC236}">
                <a16:creationId xmlns:a16="http://schemas.microsoft.com/office/drawing/2014/main" id="{D7E01940-A015-4189-AE4F-0B0489C379D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3023" name="BC$K$420#GR">
              <a:extLst>
                <a:ext uri="{FF2B5EF4-FFF2-40B4-BE49-F238E27FC236}">
                  <a16:creationId xmlns:a16="http://schemas.microsoft.com/office/drawing/2014/main" id="{5D345906-8750-4F38-81B0-9A3FF6E0EE2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3021" name="BC$K$420#GR">
                <a:extLst>
                  <a:ext uri="{FF2B5EF4-FFF2-40B4-BE49-F238E27FC236}">
                    <a16:creationId xmlns:a16="http://schemas.microsoft.com/office/drawing/2014/main" id="{8DA407D7-0EA3-49CF-9223-BBD6DFA667CF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3019" name="BC$K$420#GR">
                  <a:extLst>
                    <a:ext uri="{FF2B5EF4-FFF2-40B4-BE49-F238E27FC236}">
                      <a16:creationId xmlns:a16="http://schemas.microsoft.com/office/drawing/2014/main" id="{7C5BDBD3-C399-4FFE-AA09-A2156DD8284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3017" name="BC$K$420#GR">
                    <a:extLst>
                      <a:ext uri="{FF2B5EF4-FFF2-40B4-BE49-F238E27FC236}">
                        <a16:creationId xmlns:a16="http://schemas.microsoft.com/office/drawing/2014/main" id="{793E4F68-600B-4B0A-8033-73616F47C55B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3015" name="BC$K$420#GR">
                      <a:extLst>
                        <a:ext uri="{FF2B5EF4-FFF2-40B4-BE49-F238E27FC236}">
                          <a16:creationId xmlns:a16="http://schemas.microsoft.com/office/drawing/2014/main" id="{36EF807D-12FF-49F8-8370-5FDDF3B91F03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3013" name="BC$K$420#GR">
                        <a:extLst>
                          <a:ext uri="{FF2B5EF4-FFF2-40B4-BE49-F238E27FC236}">
                            <a16:creationId xmlns:a16="http://schemas.microsoft.com/office/drawing/2014/main" id="{7DD6C216-7972-47F9-B6EF-9C444D94020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3011" name="BC$K$420#GR">
                          <a:extLst>
                            <a:ext uri="{FF2B5EF4-FFF2-40B4-BE49-F238E27FC236}">
                              <a16:creationId xmlns:a16="http://schemas.microsoft.com/office/drawing/2014/main" id="{66DE8B99-B71D-48A9-A855-477D3395AC5C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3009" name="BC$K$420#GR">
                            <a:extLst>
                              <a:ext uri="{FF2B5EF4-FFF2-40B4-BE49-F238E27FC236}">
                                <a16:creationId xmlns:a16="http://schemas.microsoft.com/office/drawing/2014/main" id="{5185C034-92D7-4B70-9DD8-B14470485B5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3007" name="BC$K$420#GR">
                              <a:extLst>
                                <a:ext uri="{FF2B5EF4-FFF2-40B4-BE49-F238E27FC236}">
                                  <a16:creationId xmlns:a16="http://schemas.microsoft.com/office/drawing/2014/main" id="{BC6A2D2A-CD1A-47CE-A868-F6EAF12845F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3005" name="BC$K$420#GR">
                                <a:extLst>
                                  <a:ext uri="{FF2B5EF4-FFF2-40B4-BE49-F238E27FC236}">
                                    <a16:creationId xmlns:a16="http://schemas.microsoft.com/office/drawing/2014/main" id="{E8A5FDB3-6128-4613-8A94-B16EFC1D3B1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3003" name="BC$K$420#GR">
                                  <a:extLst>
                                    <a:ext uri="{FF2B5EF4-FFF2-40B4-BE49-F238E27FC236}">
                                      <a16:creationId xmlns:a16="http://schemas.microsoft.com/office/drawing/2014/main" id="{0CDBA268-70D9-4F10-B611-12F052D775A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3001" name="BC$K$420#GR">
                                    <a:extLst>
                                      <a:ext uri="{FF2B5EF4-FFF2-40B4-BE49-F238E27FC236}">
                                        <a16:creationId xmlns:a16="http://schemas.microsoft.com/office/drawing/2014/main" id="{6BF86F82-7B90-45C0-AD9C-F7D51512CAF5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2999" name="BC$K$420#GR">
                                      <a:extLst>
                                        <a:ext uri="{FF2B5EF4-FFF2-40B4-BE49-F238E27FC236}">
                                          <a16:creationId xmlns:a16="http://schemas.microsoft.com/office/drawing/2014/main" id="{ACF2AE8E-D113-4E8E-8E83-1D089F8A523C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2997" name="BC$K$42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299AAC5-25C2-4318-8677-740529EC0A2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2995" name="BC$K$42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1D18B29-525B-404D-8932-3C71E6709FF6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2993" name="BC$K$42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34AFF14-CDC0-456C-A0E4-058335521C9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2991" name="BC$K$42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CE7342F-5276-4EB0-86B9-42C65F3CD51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989" name="BC$K$42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ACB8052-0173-4E6D-B268-ACFD6C4D56B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987" name="BC$K$42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2DA9F3A-DFD8-4481-8AC9-02DBA2DB643E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2985" name="BC$K$42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DD5BAD5-0055-4E92-A72F-9F6D2A79FCF8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2983" name="BC$K$42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BC064B4-6B4D-41D0-80CC-EAF0693D3B23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2981" name="BC$K$42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5E4EFEC-E560-4E25-8B63-DE8BA2360B56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2979" name="BC$K$42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7CC490A-B4B9-4F56-A32B-8DC61D4B8DE9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2977" name="BC$K$42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EDAEBA5-FBD0-4EF3-8FFF-E6DD532E36A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2975" name="BC$K$42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9BFF313-A821-4D69-A4DD-BA223E6EFD3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2973" name="BC$K$42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A7FC265-42B4-4ED1-AC6A-E9B8CF066B6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2971" name="BC$K$42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0B2F718-DA7F-41AE-BC2E-8070B60C795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2969" name="BC$K$42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FF60872-6215-4232-9751-C28CF562611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2967" name="BC$K$42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C7D68FD-BD55-4EBC-A7E3-D2B6F49D8C63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2965" name="BC$K$42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E37BF5E-6CE0-43CD-B4B8-1CE87D418E9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2963" name="BC$K$42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66D17ED-9A40-4311-9F08-D62A766C0DF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2961" name="BC$K$42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B5C26AE-407D-4769-AC88-48EC1463116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959" name="BC$K$42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8617281-B3F4-4018-B5C3-026ECDE4194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2957" name="BC$K$42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4ABA01A-ADCA-4AD4-841B-5733066AB42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2955" name="BC$K$42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1FF4BB5-76AD-4AEC-A40E-F11365069E2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953" name="BC$K$420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D3B6ECB-9A74-4EB4-9F4E-34232083048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2954" name="BC$K$420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D8E8463-C8F9-418A-8B2D-0CAFA2064AF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2956" name="BC$K$420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0F7BAB0-4B35-4577-84AB-5F5A7F369CB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2958" name="BC$K$420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7C00F8A-F315-449F-A80A-CBBC09AE1A3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2960" name="BC$K$420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2F10366-7B93-4C05-9025-999FA4B3C49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2962" name="BC$K$420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6B5C54E-DA9C-4950-830E-52AB91C36C9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2964" name="BC$K$420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D25E718-0E02-4D0F-A6C7-0A7432AB0E1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2966" name="BC$K$420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0BC7E82-5662-42DD-8A85-1411BFB41D2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2968" name="BC$K$420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1FB2FE8-24E1-4FC1-BFAB-F4DD5847F2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2970" name="BC$K$420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32CE7F0D-7D27-4F28-8159-2BF7B8A2CAD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2972" name="BC$K$420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D292173-50E9-43AC-A894-2F70A26F327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2974" name="BC$K$420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FB20A79-68B4-4FFC-947B-3C3A07CEF63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2976" name="BC$K$420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8231636-69E4-4E5D-8D38-3DF86DBF972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2978" name="BC$K$420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531CF01-2361-4EC6-8C85-A09CEEC9314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2980" name="BC$K$420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FEB31FB-ADB9-4179-9376-27BE24F2277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2982" name="BC$K$420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D174180-3321-42C6-A7E3-8D09780A5B45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2984" name="BC$K$420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EC5D787-820A-445B-AD32-3EF85D86B1C6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2986" name="BC$K$420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CDFA66B-6D1E-43B1-B61A-CDB9DDB3D51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2988" name="BC$K$420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AC17CF0-5070-46D8-AEA5-B4AFB0CC5DB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2990" name="BC$K$420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5265B5F-5C1D-4AA6-BCA0-186A36A1EF2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2992" name="BC$K$420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F2B53BB-6E40-411A-B392-69825FDA3FA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2994" name="BC$K$420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42804DF-13FC-41B7-A44A-746DB1A7F409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2996" name="BC$K$420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E2A2E86A-0486-455A-B1D5-F62E207BD14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2998" name="BC$K$420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CA93540-D10D-435A-AE51-277D1398C09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3000" name="BC$K$420#BR24">
                                      <a:extLst>
                                        <a:ext uri="{FF2B5EF4-FFF2-40B4-BE49-F238E27FC236}">
                                          <a16:creationId xmlns:a16="http://schemas.microsoft.com/office/drawing/2014/main" id="{C42AD595-1210-477A-8D1C-A4ADD32CC40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3002" name="BC$K$420#BR25">
                                    <a:extLst>
                                      <a:ext uri="{FF2B5EF4-FFF2-40B4-BE49-F238E27FC236}">
                                        <a16:creationId xmlns:a16="http://schemas.microsoft.com/office/drawing/2014/main" id="{E1B8B74D-C89E-4DB1-808A-C35EBFF3164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3004" name="BC$K$420#BR26">
                                  <a:extLst>
                                    <a:ext uri="{FF2B5EF4-FFF2-40B4-BE49-F238E27FC236}">
                                      <a16:creationId xmlns:a16="http://schemas.microsoft.com/office/drawing/2014/main" id="{F3458E02-6AD0-49CB-99D1-45712842278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3006" name="BC$K$420#BR27">
                                <a:extLst>
                                  <a:ext uri="{FF2B5EF4-FFF2-40B4-BE49-F238E27FC236}">
                                    <a16:creationId xmlns:a16="http://schemas.microsoft.com/office/drawing/2014/main" id="{997C6E4F-04C0-4705-9891-A08624C13BEC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3008" name="BC$K$420#BR28">
                              <a:extLst>
                                <a:ext uri="{FF2B5EF4-FFF2-40B4-BE49-F238E27FC236}">
                                  <a16:creationId xmlns:a16="http://schemas.microsoft.com/office/drawing/2014/main" id="{3D67039F-55D0-44C4-BD32-126E7495F39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3010" name="BC$K$420#BR29">
                            <a:extLst>
                              <a:ext uri="{FF2B5EF4-FFF2-40B4-BE49-F238E27FC236}">
                                <a16:creationId xmlns:a16="http://schemas.microsoft.com/office/drawing/2014/main" id="{BD57D709-A4E8-4DE9-8C23-64B461F34A0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3012" name="BC$K$420#BR30">
                          <a:extLst>
                            <a:ext uri="{FF2B5EF4-FFF2-40B4-BE49-F238E27FC236}">
                              <a16:creationId xmlns:a16="http://schemas.microsoft.com/office/drawing/2014/main" id="{812FBE14-B431-4D02-8F58-39AEFA3B66B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3014" name="BC$K$420#BR31">
                        <a:extLst>
                          <a:ext uri="{FF2B5EF4-FFF2-40B4-BE49-F238E27FC236}">
                            <a16:creationId xmlns:a16="http://schemas.microsoft.com/office/drawing/2014/main" id="{3821D232-5EF2-46B6-AF51-2FF4BD00985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3016" name="BC$K$420#BR32">
                      <a:extLst>
                        <a:ext uri="{FF2B5EF4-FFF2-40B4-BE49-F238E27FC236}">
                          <a16:creationId xmlns:a16="http://schemas.microsoft.com/office/drawing/2014/main" id="{7A6D8E7E-CABE-42DC-AFCB-109CE577066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3018" name="BC$K$420#BR33">
                    <a:extLst>
                      <a:ext uri="{FF2B5EF4-FFF2-40B4-BE49-F238E27FC236}">
                        <a16:creationId xmlns:a16="http://schemas.microsoft.com/office/drawing/2014/main" id="{DDABA56E-F846-483F-8BEE-138AAF267087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3020" name="BC$K$420#BR34">
                  <a:extLst>
                    <a:ext uri="{FF2B5EF4-FFF2-40B4-BE49-F238E27FC236}">
                      <a16:creationId xmlns:a16="http://schemas.microsoft.com/office/drawing/2014/main" id="{393F4EF4-83DF-408D-8B35-08265F84845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3022" name="BC$K$420#BR35">
                <a:extLst>
                  <a:ext uri="{FF2B5EF4-FFF2-40B4-BE49-F238E27FC236}">
                    <a16:creationId xmlns:a16="http://schemas.microsoft.com/office/drawing/2014/main" id="{5D8E65CB-0936-4EEB-9BFA-95A92764A9AE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3024" name="BC$K$420#BR36">
              <a:extLst>
                <a:ext uri="{FF2B5EF4-FFF2-40B4-BE49-F238E27FC236}">
                  <a16:creationId xmlns:a16="http://schemas.microsoft.com/office/drawing/2014/main" id="{F2606764-8DE7-4F6F-889A-8CA4A10C17C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3026" name="BC$K$420#BR37">
            <a:extLst>
              <a:ext uri="{FF2B5EF4-FFF2-40B4-BE49-F238E27FC236}">
                <a16:creationId xmlns:a16="http://schemas.microsoft.com/office/drawing/2014/main" id="{518C10A7-7439-4270-9349-76F91BB8DF4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436</xdr:row>
      <xdr:rowOff>180975</xdr:rowOff>
    </xdr:from>
    <xdr:to>
      <xdr:col>13</xdr:col>
      <xdr:colOff>209550</xdr:colOff>
      <xdr:row>438</xdr:row>
      <xdr:rowOff>180975</xdr:rowOff>
    </xdr:to>
    <xdr:grpSp>
      <xdr:nvGrpSpPr>
        <xdr:cNvPr id="13177" name="BC$K$431#GR">
          <a:extLst>
            <a:ext uri="{FF2B5EF4-FFF2-40B4-BE49-F238E27FC236}">
              <a16:creationId xmlns:a16="http://schemas.microsoft.com/office/drawing/2014/main" id="{1783BEC8-B44C-49E2-8176-AE9F4F3F7CA7}"/>
            </a:ext>
          </a:extLst>
        </xdr:cNvPr>
        <xdr:cNvGrpSpPr/>
      </xdr:nvGrpSpPr>
      <xdr:grpSpPr>
        <a:xfrm>
          <a:off x="2676525" y="83143725"/>
          <a:ext cx="381000" cy="381000"/>
          <a:chOff x="0" y="0"/>
          <a:chExt cx="381000" cy="381000"/>
        </a:xfrm>
      </xdr:grpSpPr>
      <xdr:grpSp>
        <xdr:nvGrpSpPr>
          <xdr:cNvPr id="13175" name="BC$K$431#GR">
            <a:extLst>
              <a:ext uri="{FF2B5EF4-FFF2-40B4-BE49-F238E27FC236}">
                <a16:creationId xmlns:a16="http://schemas.microsoft.com/office/drawing/2014/main" id="{7F256DF2-72C2-4CD6-981D-80135E34BA4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3173" name="BC$K$431#GR">
              <a:extLst>
                <a:ext uri="{FF2B5EF4-FFF2-40B4-BE49-F238E27FC236}">
                  <a16:creationId xmlns:a16="http://schemas.microsoft.com/office/drawing/2014/main" id="{386F255D-520A-4E94-9FC1-FCDDB1C3789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3171" name="BC$K$431#GR">
                <a:extLst>
                  <a:ext uri="{FF2B5EF4-FFF2-40B4-BE49-F238E27FC236}">
                    <a16:creationId xmlns:a16="http://schemas.microsoft.com/office/drawing/2014/main" id="{A3A74839-1522-4C10-8071-F7B2A7F4A07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3169" name="BC$K$431#GR">
                  <a:extLst>
                    <a:ext uri="{FF2B5EF4-FFF2-40B4-BE49-F238E27FC236}">
                      <a16:creationId xmlns:a16="http://schemas.microsoft.com/office/drawing/2014/main" id="{A7D84860-103E-46E9-97B3-F7FEFA2597A1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3167" name="BC$K$431#GR">
                    <a:extLst>
                      <a:ext uri="{FF2B5EF4-FFF2-40B4-BE49-F238E27FC236}">
                        <a16:creationId xmlns:a16="http://schemas.microsoft.com/office/drawing/2014/main" id="{7FAFF09F-7CF1-419B-8A97-8947658FD1F3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3165" name="BC$K$431#GR">
                      <a:extLst>
                        <a:ext uri="{FF2B5EF4-FFF2-40B4-BE49-F238E27FC236}">
                          <a16:creationId xmlns:a16="http://schemas.microsoft.com/office/drawing/2014/main" id="{6DDF8AD6-22E8-4CFA-913A-80EF4D47FA6B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3163" name="BC$K$431#GR">
                        <a:extLst>
                          <a:ext uri="{FF2B5EF4-FFF2-40B4-BE49-F238E27FC236}">
                            <a16:creationId xmlns:a16="http://schemas.microsoft.com/office/drawing/2014/main" id="{132356FE-E4A9-4B4E-A225-ED67C08510D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3161" name="BC$K$431#GR">
                          <a:extLst>
                            <a:ext uri="{FF2B5EF4-FFF2-40B4-BE49-F238E27FC236}">
                              <a16:creationId xmlns:a16="http://schemas.microsoft.com/office/drawing/2014/main" id="{369F3053-3DBA-4653-9CBB-52440487B5BC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3159" name="BC$K$431#GR">
                            <a:extLst>
                              <a:ext uri="{FF2B5EF4-FFF2-40B4-BE49-F238E27FC236}">
                                <a16:creationId xmlns:a16="http://schemas.microsoft.com/office/drawing/2014/main" id="{B769088B-3F20-408C-9BE1-9F88EEFAABF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3157" name="BC$K$431#GR">
                              <a:extLst>
                                <a:ext uri="{FF2B5EF4-FFF2-40B4-BE49-F238E27FC236}">
                                  <a16:creationId xmlns:a16="http://schemas.microsoft.com/office/drawing/2014/main" id="{6D27BBB3-C1C4-43FC-87C3-4EA45A735ACB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3155" name="BC$K$431#GR">
                                <a:extLst>
                                  <a:ext uri="{FF2B5EF4-FFF2-40B4-BE49-F238E27FC236}">
                                    <a16:creationId xmlns:a16="http://schemas.microsoft.com/office/drawing/2014/main" id="{5C81C42A-3548-4D49-B79C-75E12A61C7D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3153" name="BC$K$431#GR">
                                  <a:extLst>
                                    <a:ext uri="{FF2B5EF4-FFF2-40B4-BE49-F238E27FC236}">
                                      <a16:creationId xmlns:a16="http://schemas.microsoft.com/office/drawing/2014/main" id="{230223F2-4471-4F91-9AA9-C9FB6D8A3C8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3151" name="BC$K$431#GR">
                                    <a:extLst>
                                      <a:ext uri="{FF2B5EF4-FFF2-40B4-BE49-F238E27FC236}">
                                        <a16:creationId xmlns:a16="http://schemas.microsoft.com/office/drawing/2014/main" id="{721BCB72-E441-4066-8B19-6E8E4C739FC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3149" name="BC$K$431#GR">
                                      <a:extLst>
                                        <a:ext uri="{FF2B5EF4-FFF2-40B4-BE49-F238E27FC236}">
                                          <a16:creationId xmlns:a16="http://schemas.microsoft.com/office/drawing/2014/main" id="{6780B371-8979-4BBA-A62C-B090DA8DCF0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3147" name="BC$K$43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5B1C20F-6CF2-4DBB-9941-F330EF834FB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3145" name="BC$K$43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6F08D56-8E55-4E95-9375-88B260CA9ED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3143" name="BC$K$43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8448424-5176-46F7-BE4D-D440F5F354FE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3141" name="BC$K$43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0464C61-1285-4059-B00F-F5D57101E5E4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3139" name="BC$K$43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6BF0432-045B-4062-9FFB-83CED61C6D0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3137" name="BC$K$43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BB54F21-CF00-4D63-95ED-56C2CB9396E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3135" name="BC$K$43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E2367BB-9301-4A2D-950F-ACD542E0EC8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3133" name="BC$K$43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3C9F14A0-DA75-44A8-B3CF-1AD6B1ACD4AF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3131" name="BC$K$43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81CDB65-BCA6-4A0B-AB39-571D5A00FBD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3129" name="BC$K$43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B3A6315-ACAD-469F-B9A4-B75FF8AC6F1F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3127" name="BC$K$43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522535C6-8790-4F4A-B88C-4096951DB19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3125" name="BC$K$43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9F9616B-2F63-4E99-8510-5729DAF0801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3123" name="BC$K$43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75F39FC-98A3-4702-ACED-2CFB6BC1BA9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3121" name="BC$K$43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242B402-83FB-4F6E-B343-FE7F3A4EAEF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3119" name="BC$K$43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F1AD23B-7E7E-457F-9D68-99E72024647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3117" name="BC$K$43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63B3FBD-E85C-4D99-8D52-1274F309E21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3115" name="BC$K$43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7FC3378-0CD9-4840-8151-573AC6FC9C0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3113" name="BC$K$43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A001921-399B-4824-A14D-7076CEADC14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3111" name="BC$K$43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4E01855-4A3E-491A-BA7A-C5D64BC29BB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3109" name="BC$K$43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1602842-820C-4672-A145-7686604882D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3107" name="BC$K$43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32E77BE-1433-4FA7-8127-F5BE88EDFBB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3105" name="BC$K$43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A826BD4-4FBB-49CC-8ADA-9F5023B7AD7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3103" name="BC$K$431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012F87F-D379-449E-B6B4-E0813A398DB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3104" name="BC$K$431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FAFD57F-D2E6-4113-ACFB-34A7EE7757D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3106" name="BC$K$431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D0C61AC-CF68-4D13-BC3A-C546C985D96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3108" name="BC$K$431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79CF87E-C4C2-40BC-8D35-25D07F3124A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3110" name="BC$K$431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4E38DF7-ED19-4FE9-A858-BC3312B8F3C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3112" name="BC$K$431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4FBA5B1-0FB9-4273-8FD1-2D2A66A7DB0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3114" name="BC$K$431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DB865FD-56D4-4B00-ABDE-194C0D96CEA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3116" name="BC$K$431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824579B-C56A-4173-BC23-E066206C5F9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3118" name="BC$K$431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7AF6E7B-1E07-4487-BC9C-279749712B5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3120" name="BC$K$431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89B74CF-A563-473C-865A-278F9171420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3122" name="BC$K$431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263C596-B10F-46DF-B01F-FD2990C9A0B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3124" name="BC$K$431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6510859-5AFD-4514-A71B-41302C001F4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3126" name="BC$K$431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F2EF3B9-B28C-4BB9-B48D-2781E727366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3128" name="BC$K$431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F23D170-60D8-454F-A6CB-88AC2DC09E1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3130" name="BC$K$431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92FB379-517F-4BA1-9872-822600E5EDF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3132" name="BC$K$431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360471A-4EAE-44B0-AABE-F57130285D17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3134" name="BC$K$431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2FD8E97-D6A1-4535-8E97-5C66C019C71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3136" name="BC$K$431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F617CA8-386F-40E0-B6F3-4166AC00DDB3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3138" name="BC$K$431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06FB329-5495-4649-A345-C35FB9ED8EA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3140" name="BC$K$431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4C15E00-6018-4732-B3D8-48574136505D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3142" name="BC$K$431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1629CC2-0E29-433A-814C-24B0C125C39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3144" name="BC$K$431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F98A877-AE75-45B7-BC89-397ACA1F28C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3146" name="BC$K$431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A7A211F-C5FC-4613-88EC-58534570E647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3148" name="BC$K$431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F61002B-8D72-4C0C-95AD-8370C470AA1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3150" name="BC$K$431#BR24">
                                      <a:extLst>
                                        <a:ext uri="{FF2B5EF4-FFF2-40B4-BE49-F238E27FC236}">
                                          <a16:creationId xmlns:a16="http://schemas.microsoft.com/office/drawing/2014/main" id="{813A50C9-BDB9-41B8-8C3E-A2299068164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3152" name="BC$K$431#BR25">
                                    <a:extLst>
                                      <a:ext uri="{FF2B5EF4-FFF2-40B4-BE49-F238E27FC236}">
                                        <a16:creationId xmlns:a16="http://schemas.microsoft.com/office/drawing/2014/main" id="{9807CA59-2D22-4BDA-B264-D0C7F7BAA83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3154" name="BC$K$431#BR26">
                                  <a:extLst>
                                    <a:ext uri="{FF2B5EF4-FFF2-40B4-BE49-F238E27FC236}">
                                      <a16:creationId xmlns:a16="http://schemas.microsoft.com/office/drawing/2014/main" id="{18023AE0-C114-4276-B003-ABFD8EA03BD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3156" name="BC$K$431#BR27">
                                <a:extLst>
                                  <a:ext uri="{FF2B5EF4-FFF2-40B4-BE49-F238E27FC236}">
                                    <a16:creationId xmlns:a16="http://schemas.microsoft.com/office/drawing/2014/main" id="{B0ECF2C0-DD78-4597-98B8-11A3B5D244E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3158" name="BC$K$431#BR28">
                              <a:extLst>
                                <a:ext uri="{FF2B5EF4-FFF2-40B4-BE49-F238E27FC236}">
                                  <a16:creationId xmlns:a16="http://schemas.microsoft.com/office/drawing/2014/main" id="{721549C5-8344-4155-8F31-2F30F2039DC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3160" name="BC$K$431#BR29">
                            <a:extLst>
                              <a:ext uri="{FF2B5EF4-FFF2-40B4-BE49-F238E27FC236}">
                                <a16:creationId xmlns:a16="http://schemas.microsoft.com/office/drawing/2014/main" id="{DB087AE9-00A1-4840-ABDD-B6611AE06DE4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3162" name="BC$K$431#BR30">
                          <a:extLst>
                            <a:ext uri="{FF2B5EF4-FFF2-40B4-BE49-F238E27FC236}">
                              <a16:creationId xmlns:a16="http://schemas.microsoft.com/office/drawing/2014/main" id="{3373B7B0-B3E5-437B-A31D-35C78BB7F3E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3164" name="BC$K$431#BR31">
                        <a:extLst>
                          <a:ext uri="{FF2B5EF4-FFF2-40B4-BE49-F238E27FC236}">
                            <a16:creationId xmlns:a16="http://schemas.microsoft.com/office/drawing/2014/main" id="{44E284EC-51CC-4D3D-ADA0-D0BD70146821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3166" name="BC$K$431#BR32">
                      <a:extLst>
                        <a:ext uri="{FF2B5EF4-FFF2-40B4-BE49-F238E27FC236}">
                          <a16:creationId xmlns:a16="http://schemas.microsoft.com/office/drawing/2014/main" id="{11984623-8F3D-4440-8CAE-BE011545888F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3168" name="BC$K$431#BR33">
                    <a:extLst>
                      <a:ext uri="{FF2B5EF4-FFF2-40B4-BE49-F238E27FC236}">
                        <a16:creationId xmlns:a16="http://schemas.microsoft.com/office/drawing/2014/main" id="{FB42B333-AEEB-4879-9369-BE35CAED137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3170" name="BC$K$431#BR34">
                  <a:extLst>
                    <a:ext uri="{FF2B5EF4-FFF2-40B4-BE49-F238E27FC236}">
                      <a16:creationId xmlns:a16="http://schemas.microsoft.com/office/drawing/2014/main" id="{D4A534D2-E02F-4F8A-9047-70D8BF7CA5C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3172" name="BC$K$431#BR35">
                <a:extLst>
                  <a:ext uri="{FF2B5EF4-FFF2-40B4-BE49-F238E27FC236}">
                    <a16:creationId xmlns:a16="http://schemas.microsoft.com/office/drawing/2014/main" id="{81AAE8AC-CC8F-445F-9D2B-F7D485E9BE7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3174" name="BC$K$431#BR36">
              <a:extLst>
                <a:ext uri="{FF2B5EF4-FFF2-40B4-BE49-F238E27FC236}">
                  <a16:creationId xmlns:a16="http://schemas.microsoft.com/office/drawing/2014/main" id="{9ED7D5EE-DD72-45EB-B9A6-C67E262483E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3176" name="BC$K$431#BR37">
            <a:extLst>
              <a:ext uri="{FF2B5EF4-FFF2-40B4-BE49-F238E27FC236}">
                <a16:creationId xmlns:a16="http://schemas.microsoft.com/office/drawing/2014/main" id="{DAF754D9-97DC-4050-84A0-E31DFD9E427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437</xdr:row>
      <xdr:rowOff>0</xdr:rowOff>
    </xdr:from>
    <xdr:to>
      <xdr:col>27</xdr:col>
      <xdr:colOff>209550</xdr:colOff>
      <xdr:row>439</xdr:row>
      <xdr:rowOff>0</xdr:rowOff>
    </xdr:to>
    <xdr:grpSp>
      <xdr:nvGrpSpPr>
        <xdr:cNvPr id="13252" name="BC$Y$431#GR">
          <a:extLst>
            <a:ext uri="{FF2B5EF4-FFF2-40B4-BE49-F238E27FC236}">
              <a16:creationId xmlns:a16="http://schemas.microsoft.com/office/drawing/2014/main" id="{F9236BA2-EF88-4C54-A7B7-AED6F7DA4FB0}"/>
            </a:ext>
          </a:extLst>
        </xdr:cNvPr>
        <xdr:cNvGrpSpPr/>
      </xdr:nvGrpSpPr>
      <xdr:grpSpPr>
        <a:xfrm>
          <a:off x="5791200" y="83153250"/>
          <a:ext cx="381000" cy="381000"/>
          <a:chOff x="0" y="0"/>
          <a:chExt cx="381000" cy="381000"/>
        </a:xfrm>
      </xdr:grpSpPr>
      <xdr:grpSp>
        <xdr:nvGrpSpPr>
          <xdr:cNvPr id="13250" name="BC$Y$431#GR">
            <a:extLst>
              <a:ext uri="{FF2B5EF4-FFF2-40B4-BE49-F238E27FC236}">
                <a16:creationId xmlns:a16="http://schemas.microsoft.com/office/drawing/2014/main" id="{492DAEF5-F3D2-4B2F-B150-78A527C96F56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3248" name="BC$Y$431#GR">
              <a:extLst>
                <a:ext uri="{FF2B5EF4-FFF2-40B4-BE49-F238E27FC236}">
                  <a16:creationId xmlns:a16="http://schemas.microsoft.com/office/drawing/2014/main" id="{28F0E56A-A76A-45EF-98AD-FC1F54A3870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3246" name="BC$Y$431#GR">
                <a:extLst>
                  <a:ext uri="{FF2B5EF4-FFF2-40B4-BE49-F238E27FC236}">
                    <a16:creationId xmlns:a16="http://schemas.microsoft.com/office/drawing/2014/main" id="{9BB47168-C6CE-426C-A50A-5D029A71561F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3244" name="BC$Y$431#GR">
                  <a:extLst>
                    <a:ext uri="{FF2B5EF4-FFF2-40B4-BE49-F238E27FC236}">
                      <a16:creationId xmlns:a16="http://schemas.microsoft.com/office/drawing/2014/main" id="{B29ED0F3-AAF4-41D7-8968-4C2D62156FA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3242" name="BC$Y$431#GR">
                    <a:extLst>
                      <a:ext uri="{FF2B5EF4-FFF2-40B4-BE49-F238E27FC236}">
                        <a16:creationId xmlns:a16="http://schemas.microsoft.com/office/drawing/2014/main" id="{F436C52C-D7E9-4091-BEBC-3B10252E7CD5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3240" name="BC$Y$431#GR">
                      <a:extLst>
                        <a:ext uri="{FF2B5EF4-FFF2-40B4-BE49-F238E27FC236}">
                          <a16:creationId xmlns:a16="http://schemas.microsoft.com/office/drawing/2014/main" id="{0F9A481C-B30F-4F75-AA16-FF311C3BF2F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3238" name="BC$Y$431#GR">
                        <a:extLst>
                          <a:ext uri="{FF2B5EF4-FFF2-40B4-BE49-F238E27FC236}">
                            <a16:creationId xmlns:a16="http://schemas.microsoft.com/office/drawing/2014/main" id="{657B0765-E445-4DAF-A5E8-7F303A7375B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3236" name="BC$Y$431#GR">
                          <a:extLst>
                            <a:ext uri="{FF2B5EF4-FFF2-40B4-BE49-F238E27FC236}">
                              <a16:creationId xmlns:a16="http://schemas.microsoft.com/office/drawing/2014/main" id="{BC34B020-2083-483C-A95C-ABE672B246AC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3234" name="BC$Y$431#GR">
                            <a:extLst>
                              <a:ext uri="{FF2B5EF4-FFF2-40B4-BE49-F238E27FC236}">
                                <a16:creationId xmlns:a16="http://schemas.microsoft.com/office/drawing/2014/main" id="{1E8AE2BD-2C70-46EF-9F3C-2D0C45C0AE4D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3232" name="BC$Y$431#GR">
                              <a:extLst>
                                <a:ext uri="{FF2B5EF4-FFF2-40B4-BE49-F238E27FC236}">
                                  <a16:creationId xmlns:a16="http://schemas.microsoft.com/office/drawing/2014/main" id="{FB5081FD-36F6-419F-BC93-8410A3ADE33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3230" name="BC$Y$431#GR">
                                <a:extLst>
                                  <a:ext uri="{FF2B5EF4-FFF2-40B4-BE49-F238E27FC236}">
                                    <a16:creationId xmlns:a16="http://schemas.microsoft.com/office/drawing/2014/main" id="{6DEEAF71-6AB3-4C17-B83A-490434F9D5B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3228" name="BC$Y$431#GR">
                                  <a:extLst>
                                    <a:ext uri="{FF2B5EF4-FFF2-40B4-BE49-F238E27FC236}">
                                      <a16:creationId xmlns:a16="http://schemas.microsoft.com/office/drawing/2014/main" id="{35766F16-BA71-4CF6-A8BB-2509CBB7C38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3226" name="BC$Y$431#GR">
                                    <a:extLst>
                                      <a:ext uri="{FF2B5EF4-FFF2-40B4-BE49-F238E27FC236}">
                                        <a16:creationId xmlns:a16="http://schemas.microsoft.com/office/drawing/2014/main" id="{45283DAE-9022-43F1-8D4B-592C87E860E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3224" name="BC$Y$431#GR">
                                      <a:extLst>
                                        <a:ext uri="{FF2B5EF4-FFF2-40B4-BE49-F238E27FC236}">
                                          <a16:creationId xmlns:a16="http://schemas.microsoft.com/office/drawing/2014/main" id="{560DAB68-FD23-41A7-8545-B0CC1CD12E64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3222" name="BC$Y$43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E22F7FC-AE04-4D94-865A-BB4A982C30C3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3220" name="BC$Y$43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02ED45E-38C0-4F31-BD94-3321ED6B7DB6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3218" name="BC$Y$43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9D12240-EBC3-4D54-BF38-5A7D5E3D011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3216" name="BC$Y$43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AB20DAA-C848-40B2-B516-E66C9E92833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3214" name="BC$Y$43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CA35D36-4F88-4AFE-A046-FEA470B1FE1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3212" name="BC$Y$43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DFB202C-D700-49A6-9BA0-464B1C450B7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3210" name="BC$Y$43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084955C-31DB-41F4-8362-7BD7BA2D28D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3208" name="BC$Y$43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D9CB3F2-FA9F-490E-B4F6-AB46CE9C6A64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3206" name="BC$Y$43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418A823-CDF8-481A-908C-74E7E966F60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3204" name="BC$Y$43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8A758CE-2494-4F77-B0CA-9D465921B1B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3202" name="BC$Y$43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F16507F-14FF-446F-A9FB-E08557865B2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3200" name="BC$Y$43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C4A1F56-311E-4D69-8A54-BBFD2D50C51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3198" name="BC$Y$43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7604C3B0-6F6E-422B-8EF1-7BA2910D2A1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3196" name="BC$Y$43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E78F96D7-8866-48FB-8AB5-F3B519A9349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3194" name="BC$Y$43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E276F1A-FAC5-407E-B487-C0470DBD8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3192" name="BC$Y$43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872BE2F-EEDD-402D-B37A-0FC6355464E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3190" name="BC$Y$43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74D511C-C84B-49A5-A46F-428304705ED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3188" name="BC$Y$43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4F4DAD8-D45E-462E-A827-0CA39902B8B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3186" name="BC$Y$43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F38A4BE-0C80-4151-805E-F2AB75C6B5C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3184" name="BC$Y$43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C2E739F-D4D4-436A-8F13-C0FA36AFA99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3182" name="BC$Y$43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CFB95C3-2357-491B-B6D5-B5DFA4FFFFD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3180" name="BC$Y$43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CE99C20-E176-4784-9D9D-38C54CBA013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3178" name="BC$Y$431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54D08D5-C1AD-4DDD-A553-B762E79D77C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3179" name="BC$Y$431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C1C4878-B3BF-4C43-A186-9BA2D6032C3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3181" name="BC$Y$431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EED830A-2639-463C-8023-CD513BC6AB43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3183" name="BC$Y$431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88D609C-29A2-4F09-BDD7-B1241F00A2C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3185" name="BC$Y$431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AE1775C-285F-432E-A5AE-45D51D6F21B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3187" name="BC$Y$431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FDE9BD1-80DA-4295-8AF3-BC3D62282A7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3189" name="BC$Y$431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EE0F99B-687D-437A-BA24-9FDD162182F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3191" name="BC$Y$431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468EE2D-C592-4B93-A94A-4F9A92C953B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95250"/>
                                                                        <a:ext cx="6350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3193" name="BC$Y$431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15A4DA5-F2EA-41BD-99DD-5D765ACFB15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90500" y="6350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3195" name="BC$Y$431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A82D936-679F-4F05-858D-FEC17787E9E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3197" name="BC$Y$431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E00DA22-6ED8-44AD-A5D1-CAEB2321E1A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3199" name="BC$Y$431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AA682F0-A319-42AC-B0E1-60BED13539A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3201" name="BC$Y$431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DFCDD63-381C-4976-8D55-A58FDBF47C0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95250" y="127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3203" name="BC$Y$431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4025061-9A89-4457-8943-023BF2F8C3E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63500" y="15875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3205" name="BC$Y$431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47E6C94-556C-438C-9AC7-9783ED767F2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3207" name="BC$Y$431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A328130-C73E-4F86-900F-810009BD66F7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27000" y="158750"/>
                                                        <a:ext cx="6350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3209" name="BC$Y$431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885FD57-182E-4BD9-ABF8-B0C25BBF5BD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3211" name="BC$Y$431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75CE083-C410-483E-ACE4-636F9920851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3213" name="BC$Y$431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EB61EA5-AC1E-4693-B9CE-9D5D4DE54D4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3215" name="BC$Y$431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C65F539-5235-4577-A3EB-B576345E7A4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3217" name="BC$Y$431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7172B03-A297-47F0-86EF-5E4A06320595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3219" name="BC$Y$431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D9C6A91-A53D-4062-8411-D67E00107BA2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58750" y="190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3221" name="BC$Y$431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8B5DCDA-9B1B-4EF6-80F7-4AE50C8C91B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3223" name="BC$Y$431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7595828-BE24-4EBE-92DC-07D96BCDFFF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90500" y="222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3225" name="BC$Y$431#BR24">
                                      <a:extLst>
                                        <a:ext uri="{FF2B5EF4-FFF2-40B4-BE49-F238E27FC236}">
                                          <a16:creationId xmlns:a16="http://schemas.microsoft.com/office/drawing/2014/main" id="{A2D5A2FC-63AD-49B8-8708-9EFD4F00DA8F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19050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3227" name="BC$Y$431#BR25">
                                    <a:extLst>
                                      <a:ext uri="{FF2B5EF4-FFF2-40B4-BE49-F238E27FC236}">
                                        <a16:creationId xmlns:a16="http://schemas.microsoft.com/office/drawing/2014/main" id="{C4F77B98-9D90-4989-BB59-43924D513C25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54000" y="22225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3229" name="BC$Y$431#BR26">
                                  <a:extLst>
                                    <a:ext uri="{FF2B5EF4-FFF2-40B4-BE49-F238E27FC236}">
                                      <a16:creationId xmlns:a16="http://schemas.microsoft.com/office/drawing/2014/main" id="{0BAF399F-F46C-48BA-A73D-6729977545E2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0" y="1905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3231" name="BC$Y$431#BR27">
                                <a:extLst>
                                  <a:ext uri="{FF2B5EF4-FFF2-40B4-BE49-F238E27FC236}">
                                    <a16:creationId xmlns:a16="http://schemas.microsoft.com/office/drawing/2014/main" id="{FC6D2965-8276-4785-B4D6-75EEA2F1E6F4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1750" y="254000"/>
                                <a:ext cx="31750" cy="6350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3233" name="BC$Y$431#BR28">
                              <a:extLst>
                                <a:ext uri="{FF2B5EF4-FFF2-40B4-BE49-F238E27FC236}">
                                  <a16:creationId xmlns:a16="http://schemas.microsoft.com/office/drawing/2014/main" id="{EEDEA66F-2292-4A9E-AFF4-CC94C1FF9ED1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3235" name="BC$Y$431#BR29">
                            <a:extLst>
                              <a:ext uri="{FF2B5EF4-FFF2-40B4-BE49-F238E27FC236}">
                                <a16:creationId xmlns:a16="http://schemas.microsoft.com/office/drawing/2014/main" id="{34D3EDC3-6375-4D0E-B118-2F17702778B2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3237" name="BC$Y$431#BR30">
                          <a:extLst>
                            <a:ext uri="{FF2B5EF4-FFF2-40B4-BE49-F238E27FC236}">
                              <a16:creationId xmlns:a16="http://schemas.microsoft.com/office/drawing/2014/main" id="{FE203E85-78A8-45C5-868B-9E125D14231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575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3239" name="BC$Y$431#BR31">
                        <a:extLst>
                          <a:ext uri="{FF2B5EF4-FFF2-40B4-BE49-F238E27FC236}">
                            <a16:creationId xmlns:a16="http://schemas.microsoft.com/office/drawing/2014/main" id="{CDB329D2-CDF5-4315-8E82-2645EB58FFB9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3241" name="BC$Y$431#BR32">
                      <a:extLst>
                        <a:ext uri="{FF2B5EF4-FFF2-40B4-BE49-F238E27FC236}">
                          <a16:creationId xmlns:a16="http://schemas.microsoft.com/office/drawing/2014/main" id="{FCA66A15-F970-4A03-96B9-95A90235B84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3243" name="BC$Y$431#BR33">
                    <a:extLst>
                      <a:ext uri="{FF2B5EF4-FFF2-40B4-BE49-F238E27FC236}">
                        <a16:creationId xmlns:a16="http://schemas.microsoft.com/office/drawing/2014/main" id="{69E11813-455C-4325-95E2-1E0AF129BE43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3245" name="BC$Y$431#BR34">
                  <a:extLst>
                    <a:ext uri="{FF2B5EF4-FFF2-40B4-BE49-F238E27FC236}">
                      <a16:creationId xmlns:a16="http://schemas.microsoft.com/office/drawing/2014/main" id="{D73389E3-95A4-4B77-8AA7-87C8D152AB3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3247" name="BC$Y$431#BR35">
                <a:extLst>
                  <a:ext uri="{FF2B5EF4-FFF2-40B4-BE49-F238E27FC236}">
                    <a16:creationId xmlns:a16="http://schemas.microsoft.com/office/drawing/2014/main" id="{945A4152-9C9D-4C5A-A6A1-7F93F8A0B5F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3249" name="BC$Y$431#BR36">
              <a:extLst>
                <a:ext uri="{FF2B5EF4-FFF2-40B4-BE49-F238E27FC236}">
                  <a16:creationId xmlns:a16="http://schemas.microsoft.com/office/drawing/2014/main" id="{58CD0278-17ED-466B-A190-F2749D09AAF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3251" name="BC$Y$431#BR37">
            <a:extLst>
              <a:ext uri="{FF2B5EF4-FFF2-40B4-BE49-F238E27FC236}">
                <a16:creationId xmlns:a16="http://schemas.microsoft.com/office/drawing/2014/main" id="{B024FC9E-94AA-4906-8A3F-72C026BCE7BC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19050</xdr:colOff>
      <xdr:row>448</xdr:row>
      <xdr:rowOff>0</xdr:rowOff>
    </xdr:from>
    <xdr:to>
      <xdr:col>13</xdr:col>
      <xdr:colOff>180975</xdr:colOff>
      <xdr:row>450</xdr:row>
      <xdr:rowOff>0</xdr:rowOff>
    </xdr:to>
    <xdr:grpSp>
      <xdr:nvGrpSpPr>
        <xdr:cNvPr id="14077" name="BC$K$442#GR">
          <a:extLst>
            <a:ext uri="{FF2B5EF4-FFF2-40B4-BE49-F238E27FC236}">
              <a16:creationId xmlns:a16="http://schemas.microsoft.com/office/drawing/2014/main" id="{43749D38-A208-4167-95E5-130C71BCAAAE}"/>
            </a:ext>
          </a:extLst>
        </xdr:cNvPr>
        <xdr:cNvGrpSpPr/>
      </xdr:nvGrpSpPr>
      <xdr:grpSpPr>
        <a:xfrm>
          <a:off x="2647950" y="85248750"/>
          <a:ext cx="381000" cy="381000"/>
          <a:chOff x="0" y="0"/>
          <a:chExt cx="381000" cy="381000"/>
        </a:xfrm>
      </xdr:grpSpPr>
      <xdr:grpSp>
        <xdr:nvGrpSpPr>
          <xdr:cNvPr id="14075" name="BC$K$442#GR">
            <a:extLst>
              <a:ext uri="{FF2B5EF4-FFF2-40B4-BE49-F238E27FC236}">
                <a16:creationId xmlns:a16="http://schemas.microsoft.com/office/drawing/2014/main" id="{33F79E83-03D8-4371-B2DB-3627F614168B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073" name="BC$K$442#GR">
              <a:extLst>
                <a:ext uri="{FF2B5EF4-FFF2-40B4-BE49-F238E27FC236}">
                  <a16:creationId xmlns:a16="http://schemas.microsoft.com/office/drawing/2014/main" id="{DB38AAD8-A6F3-492F-AEBC-21C79E5C6B4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071" name="BC$K$442#GR">
                <a:extLst>
                  <a:ext uri="{FF2B5EF4-FFF2-40B4-BE49-F238E27FC236}">
                    <a16:creationId xmlns:a16="http://schemas.microsoft.com/office/drawing/2014/main" id="{BDC04DDB-954A-411C-A40F-2DE54EECAC37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069" name="BC$K$442#GR">
                  <a:extLst>
                    <a:ext uri="{FF2B5EF4-FFF2-40B4-BE49-F238E27FC236}">
                      <a16:creationId xmlns:a16="http://schemas.microsoft.com/office/drawing/2014/main" id="{852B4D59-96BF-4771-B3E0-3CDCD58AEBBE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067" name="BC$K$442#GR">
                    <a:extLst>
                      <a:ext uri="{FF2B5EF4-FFF2-40B4-BE49-F238E27FC236}">
                        <a16:creationId xmlns:a16="http://schemas.microsoft.com/office/drawing/2014/main" id="{D2CE186F-6335-4191-922D-C35187C455DE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065" name="BC$K$442#GR">
                      <a:extLst>
                        <a:ext uri="{FF2B5EF4-FFF2-40B4-BE49-F238E27FC236}">
                          <a16:creationId xmlns:a16="http://schemas.microsoft.com/office/drawing/2014/main" id="{34CB31BD-7C3B-4C93-AA34-40153BBDD06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063" name="BC$K$442#GR">
                        <a:extLst>
                          <a:ext uri="{FF2B5EF4-FFF2-40B4-BE49-F238E27FC236}">
                            <a16:creationId xmlns:a16="http://schemas.microsoft.com/office/drawing/2014/main" id="{C2FF3514-7DCD-48D4-9B1D-C9CB20C1D58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061" name="BC$K$442#GR">
                          <a:extLst>
                            <a:ext uri="{FF2B5EF4-FFF2-40B4-BE49-F238E27FC236}">
                              <a16:creationId xmlns:a16="http://schemas.microsoft.com/office/drawing/2014/main" id="{0C35C8C0-0461-470A-BACC-B87C2078A121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059" name="BC$K$442#GR">
                            <a:extLst>
                              <a:ext uri="{FF2B5EF4-FFF2-40B4-BE49-F238E27FC236}">
                                <a16:creationId xmlns:a16="http://schemas.microsoft.com/office/drawing/2014/main" id="{2BA32F17-061F-4A8C-8D58-122C46771F6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057" name="BC$K$442#GR">
                              <a:extLst>
                                <a:ext uri="{FF2B5EF4-FFF2-40B4-BE49-F238E27FC236}">
                                  <a16:creationId xmlns:a16="http://schemas.microsoft.com/office/drawing/2014/main" id="{B0FC0ADE-2549-4D32-84F4-033A81C8975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055" name="BC$K$442#GR">
                                <a:extLst>
                                  <a:ext uri="{FF2B5EF4-FFF2-40B4-BE49-F238E27FC236}">
                                    <a16:creationId xmlns:a16="http://schemas.microsoft.com/office/drawing/2014/main" id="{A1D5CF13-2B2A-449D-BE5A-EDA609247FB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053" name="BC$K$442#GR">
                                  <a:extLst>
                                    <a:ext uri="{FF2B5EF4-FFF2-40B4-BE49-F238E27FC236}">
                                      <a16:creationId xmlns:a16="http://schemas.microsoft.com/office/drawing/2014/main" id="{943DE292-3B18-42F7-A34A-FD88D3EDDD73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051" name="BC$K$442#GR">
                                    <a:extLst>
                                      <a:ext uri="{FF2B5EF4-FFF2-40B4-BE49-F238E27FC236}">
                                        <a16:creationId xmlns:a16="http://schemas.microsoft.com/office/drawing/2014/main" id="{C76382EA-EBE3-4047-87A0-2101B9BB28E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049" name="BC$K$442#GR">
                                      <a:extLst>
                                        <a:ext uri="{FF2B5EF4-FFF2-40B4-BE49-F238E27FC236}">
                                          <a16:creationId xmlns:a16="http://schemas.microsoft.com/office/drawing/2014/main" id="{A649D7E4-AAD3-4407-B01A-89C9CCC3B33F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047" name="BC$K$44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458E8BE-1147-4A12-AF14-5EAB7A79D78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045" name="BC$K$44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8BE14CB-88EB-44DB-ADAC-69AC2078820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043" name="BC$K$44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9260424-1FDA-4F2C-978C-616609F043B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041" name="BC$K$44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65FBA6C-7A5E-405B-8215-1938D4287FC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039" name="BC$K$44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EA922F1-D286-4FB5-AF58-8C9D104542FF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037" name="BC$K$44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1F29A4E-5CE3-4222-BC11-E4CF0199A956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035" name="BC$K$44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3609676F-731D-402C-A76A-E9D138325AB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033" name="BC$K$44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ADF9BD6-C2D8-4F2B-9E66-B49E2946F6ED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031" name="BC$K$44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CA725DD-97C0-4B21-B636-2E066D0BC80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029" name="BC$K$44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23EA87C-01AA-4F3E-845D-AE8BA6F0927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027" name="BC$K$44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90560B2-B3E8-45E9-ADE4-B558726CA8C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025" name="BC$K$44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71A1C50-4B22-450F-B93C-65916A9EC6D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023" name="BC$K$44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F476E41-DF1D-47D1-919B-405299384D2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021" name="BC$K$44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6FFC983-6AEF-42C6-BB7E-8D5681BE2C1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019" name="BC$K$44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9CB5FA2-9047-4388-B393-55100067D2C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017" name="BC$K$44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2BEC413-97BA-4329-9799-30C6C6B3D66E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015" name="BC$K$44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AD8CD15-4F49-47BD-B1B7-5F0A246D965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013" name="BC$K$44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68CACAE-1492-429C-8F3C-4EC84DDB9B8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011" name="BC$K$44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8C8581C-FDEF-49A1-9B6D-E812E98D767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009" name="BC$K$44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6C2C68F-897E-4BC4-AFAC-8F4695B2D23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007" name="BC$K$44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4238DF6-668D-4D65-A823-FA49136F1C1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005" name="BC$K$44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6760648-B926-43F5-AAA3-F503D8105C7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003" name="BC$K$442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60CE8F6-054A-4347-8883-2C3F3807FB0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004" name="BC$K$442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E7DF1F7-DB84-4BDE-BD62-BEAA1A81D53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006" name="BC$K$442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18A9618-4B08-4D2B-86AB-EE10C7B6368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008" name="BC$K$442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5185965-1C3B-42A1-96E8-A95A4D669F6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010" name="BC$K$442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2B4D789-5C22-4509-9A4C-160BF683EC8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012" name="BC$K$442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0714EE5-B632-41B4-9702-7212253711F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014" name="BC$K$442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88B795E-3C98-42BA-9EDE-C78EA70E07F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016" name="BC$K$442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C320571-2081-4E03-AC2F-AD9D005656F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018" name="BC$K$442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4DC376B-660A-4FEC-B102-66106EFBF75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020" name="BC$K$442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FD0801F-5041-4725-8696-7F0EF0D57FA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022" name="BC$K$442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B601BBC-70A2-4FCC-8393-19D8C8DC5CA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024" name="BC$K$442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32FB492-EC8A-4B43-A7B9-AF9DF006D26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026" name="BC$K$442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333F6FD-A676-4453-8B23-929E7B1F633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028" name="BC$K$442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FA1429D-8DB4-414D-B8BE-6BFF0F72C2D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030" name="BC$K$442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A74F02A-0D68-4DF6-81C3-0649303D2CE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032" name="BC$K$442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0CB1F5A-BD27-4BD4-8EB7-68F4DEE7936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034" name="BC$K$442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CD49F14-A180-429D-A11B-D10B6C5E0F1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036" name="BC$K$442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48CA4B2-26EE-41D3-81D5-4342D7EB397D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038" name="BC$K$442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5F934F3-1C8A-4556-9C5C-19847390D0D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040" name="BC$K$442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55F1DB3-6C17-450D-8E91-C10865B4A2FC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042" name="BC$K$442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37CFD06-2F0B-4F39-9D58-748A0258D308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044" name="BC$K$442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2EE066C-7839-47CC-94E1-D319F5AF868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046" name="BC$K$442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DA7806C-423D-44BB-884D-DF5457C6844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048" name="BC$K$442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235AA46-5EBF-4E08-BC18-007ECA4CE31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050" name="BC$K$442#BR24">
                                      <a:extLst>
                                        <a:ext uri="{FF2B5EF4-FFF2-40B4-BE49-F238E27FC236}">
                                          <a16:creationId xmlns:a16="http://schemas.microsoft.com/office/drawing/2014/main" id="{0D8B2FEF-3FBE-4DBC-BE54-67295F29BF2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052" name="BC$K$442#BR25">
                                    <a:extLst>
                                      <a:ext uri="{FF2B5EF4-FFF2-40B4-BE49-F238E27FC236}">
                                        <a16:creationId xmlns:a16="http://schemas.microsoft.com/office/drawing/2014/main" id="{C20C7146-9B4D-48F5-AAF6-0AEE6E4A33C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054" name="BC$K$442#BR26">
                                  <a:extLst>
                                    <a:ext uri="{FF2B5EF4-FFF2-40B4-BE49-F238E27FC236}">
                                      <a16:creationId xmlns:a16="http://schemas.microsoft.com/office/drawing/2014/main" id="{999F7198-6CA5-4A8E-A933-B2104FD1D11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056" name="BC$K$442#BR27">
                                <a:extLst>
                                  <a:ext uri="{FF2B5EF4-FFF2-40B4-BE49-F238E27FC236}">
                                    <a16:creationId xmlns:a16="http://schemas.microsoft.com/office/drawing/2014/main" id="{23267333-85F1-4019-B4E0-BF3D331D49B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058" name="BC$K$442#BR28">
                              <a:extLst>
                                <a:ext uri="{FF2B5EF4-FFF2-40B4-BE49-F238E27FC236}">
                                  <a16:creationId xmlns:a16="http://schemas.microsoft.com/office/drawing/2014/main" id="{F1896215-2153-4593-8464-326634AE23C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060" name="BC$K$442#BR29">
                            <a:extLst>
                              <a:ext uri="{FF2B5EF4-FFF2-40B4-BE49-F238E27FC236}">
                                <a16:creationId xmlns:a16="http://schemas.microsoft.com/office/drawing/2014/main" id="{03E6E6E5-09CD-4DCE-965C-58513CD98B4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062" name="BC$K$442#BR30">
                          <a:extLst>
                            <a:ext uri="{FF2B5EF4-FFF2-40B4-BE49-F238E27FC236}">
                              <a16:creationId xmlns:a16="http://schemas.microsoft.com/office/drawing/2014/main" id="{0EDDF425-D5E3-428F-98D8-67F9B6907F3E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064" name="BC$K$442#BR31">
                        <a:extLst>
                          <a:ext uri="{FF2B5EF4-FFF2-40B4-BE49-F238E27FC236}">
                            <a16:creationId xmlns:a16="http://schemas.microsoft.com/office/drawing/2014/main" id="{C7861A05-4FAE-4789-8AC3-E3AEDCA03AC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066" name="BC$K$442#BR32">
                      <a:extLst>
                        <a:ext uri="{FF2B5EF4-FFF2-40B4-BE49-F238E27FC236}">
                          <a16:creationId xmlns:a16="http://schemas.microsoft.com/office/drawing/2014/main" id="{FBFC76B3-DAC6-4765-8B22-02D48CA6ADBF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068" name="BC$K$442#BR33">
                    <a:extLst>
                      <a:ext uri="{FF2B5EF4-FFF2-40B4-BE49-F238E27FC236}">
                        <a16:creationId xmlns:a16="http://schemas.microsoft.com/office/drawing/2014/main" id="{5A6D5A28-B8F2-4753-BA7A-7E8987195DF1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070" name="BC$K$442#BR34">
                  <a:extLst>
                    <a:ext uri="{FF2B5EF4-FFF2-40B4-BE49-F238E27FC236}">
                      <a16:creationId xmlns:a16="http://schemas.microsoft.com/office/drawing/2014/main" id="{E7C95A82-BCE5-488F-95A6-9F8F0EA5388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072" name="BC$K$442#BR35">
                <a:extLst>
                  <a:ext uri="{FF2B5EF4-FFF2-40B4-BE49-F238E27FC236}">
                    <a16:creationId xmlns:a16="http://schemas.microsoft.com/office/drawing/2014/main" id="{76242581-A81E-4C2A-B42C-5596D7D1435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074" name="BC$K$442#BR36">
              <a:extLst>
                <a:ext uri="{FF2B5EF4-FFF2-40B4-BE49-F238E27FC236}">
                  <a16:creationId xmlns:a16="http://schemas.microsoft.com/office/drawing/2014/main" id="{2B9885FD-A285-4DCD-8DB2-5DEBE226335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076" name="BC$K$442#BR37">
            <a:extLst>
              <a:ext uri="{FF2B5EF4-FFF2-40B4-BE49-F238E27FC236}">
                <a16:creationId xmlns:a16="http://schemas.microsoft.com/office/drawing/2014/main" id="{91250BF2-AE59-4F7B-8323-82D0886CB4A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459</xdr:row>
      <xdr:rowOff>9525</xdr:rowOff>
    </xdr:from>
    <xdr:to>
      <xdr:col>13</xdr:col>
      <xdr:colOff>200025</xdr:colOff>
      <xdr:row>461</xdr:row>
      <xdr:rowOff>9525</xdr:rowOff>
    </xdr:to>
    <xdr:grpSp>
      <xdr:nvGrpSpPr>
        <xdr:cNvPr id="14227" name="BC$K$453#GR">
          <a:extLst>
            <a:ext uri="{FF2B5EF4-FFF2-40B4-BE49-F238E27FC236}">
              <a16:creationId xmlns:a16="http://schemas.microsoft.com/office/drawing/2014/main" id="{976960AA-55A6-4B12-A60D-19CA268E3FD0}"/>
            </a:ext>
          </a:extLst>
        </xdr:cNvPr>
        <xdr:cNvGrpSpPr/>
      </xdr:nvGrpSpPr>
      <xdr:grpSpPr>
        <a:xfrm>
          <a:off x="2667000" y="87353775"/>
          <a:ext cx="381000" cy="381000"/>
          <a:chOff x="0" y="0"/>
          <a:chExt cx="381000" cy="381000"/>
        </a:xfrm>
      </xdr:grpSpPr>
      <xdr:grpSp>
        <xdr:nvGrpSpPr>
          <xdr:cNvPr id="14225" name="BC$K$453#GR">
            <a:extLst>
              <a:ext uri="{FF2B5EF4-FFF2-40B4-BE49-F238E27FC236}">
                <a16:creationId xmlns:a16="http://schemas.microsoft.com/office/drawing/2014/main" id="{CA15E384-B4B7-4720-9E90-AA95DED8F9FA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223" name="BC$K$453#GR">
              <a:extLst>
                <a:ext uri="{FF2B5EF4-FFF2-40B4-BE49-F238E27FC236}">
                  <a16:creationId xmlns:a16="http://schemas.microsoft.com/office/drawing/2014/main" id="{B9B4F574-80CA-4C7C-8751-3D96BFD344FF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221" name="BC$K$453#GR">
                <a:extLst>
                  <a:ext uri="{FF2B5EF4-FFF2-40B4-BE49-F238E27FC236}">
                    <a16:creationId xmlns:a16="http://schemas.microsoft.com/office/drawing/2014/main" id="{DCE346A8-22E6-4CDD-A0DC-387B87205D8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219" name="BC$K$453#GR">
                  <a:extLst>
                    <a:ext uri="{FF2B5EF4-FFF2-40B4-BE49-F238E27FC236}">
                      <a16:creationId xmlns:a16="http://schemas.microsoft.com/office/drawing/2014/main" id="{66184B92-02AC-4524-AEF0-3D1979C3B8E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217" name="BC$K$453#GR">
                    <a:extLst>
                      <a:ext uri="{FF2B5EF4-FFF2-40B4-BE49-F238E27FC236}">
                        <a16:creationId xmlns:a16="http://schemas.microsoft.com/office/drawing/2014/main" id="{9E3B1D5E-6DF1-4C88-867D-55D5A6074C3E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215" name="BC$K$453#GR">
                      <a:extLst>
                        <a:ext uri="{FF2B5EF4-FFF2-40B4-BE49-F238E27FC236}">
                          <a16:creationId xmlns:a16="http://schemas.microsoft.com/office/drawing/2014/main" id="{CD60CF21-76AC-4085-B052-4D4704405DE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213" name="BC$K$453#GR">
                        <a:extLst>
                          <a:ext uri="{FF2B5EF4-FFF2-40B4-BE49-F238E27FC236}">
                            <a16:creationId xmlns:a16="http://schemas.microsoft.com/office/drawing/2014/main" id="{20481567-E932-431B-8A0D-B16738A1A4B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211" name="BC$K$453#GR">
                          <a:extLst>
                            <a:ext uri="{FF2B5EF4-FFF2-40B4-BE49-F238E27FC236}">
                              <a16:creationId xmlns:a16="http://schemas.microsoft.com/office/drawing/2014/main" id="{45D5CF5B-E4EF-4E2C-8A95-63EF81D2983D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209" name="BC$K$453#GR">
                            <a:extLst>
                              <a:ext uri="{FF2B5EF4-FFF2-40B4-BE49-F238E27FC236}">
                                <a16:creationId xmlns:a16="http://schemas.microsoft.com/office/drawing/2014/main" id="{76B6B1AC-3D63-40FF-98AB-CF0AA60A1026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207" name="BC$K$453#GR">
                              <a:extLst>
                                <a:ext uri="{FF2B5EF4-FFF2-40B4-BE49-F238E27FC236}">
                                  <a16:creationId xmlns:a16="http://schemas.microsoft.com/office/drawing/2014/main" id="{897A9086-5E66-4D88-B764-BC49EB12832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205" name="BC$K$453#GR">
                                <a:extLst>
                                  <a:ext uri="{FF2B5EF4-FFF2-40B4-BE49-F238E27FC236}">
                                    <a16:creationId xmlns:a16="http://schemas.microsoft.com/office/drawing/2014/main" id="{3DE3EA91-86C6-4675-B399-679F48026ED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203" name="BC$K$453#GR">
                                  <a:extLst>
                                    <a:ext uri="{FF2B5EF4-FFF2-40B4-BE49-F238E27FC236}">
                                      <a16:creationId xmlns:a16="http://schemas.microsoft.com/office/drawing/2014/main" id="{C62C9A10-0225-49ED-9173-A5B3994D81E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201" name="BC$K$453#GR">
                                    <a:extLst>
                                      <a:ext uri="{FF2B5EF4-FFF2-40B4-BE49-F238E27FC236}">
                                        <a16:creationId xmlns:a16="http://schemas.microsoft.com/office/drawing/2014/main" id="{1168F443-D854-4416-A8F5-169670DD9B7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199" name="BC$K$453#GR">
                                      <a:extLst>
                                        <a:ext uri="{FF2B5EF4-FFF2-40B4-BE49-F238E27FC236}">
                                          <a16:creationId xmlns:a16="http://schemas.microsoft.com/office/drawing/2014/main" id="{7278BC7B-0C3D-4676-ABA4-CB4AF87C15D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197" name="BC$K$45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FE05635-2724-4F01-99FD-67E412D4E68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195" name="BC$K$45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77D087D-02B0-43A1-8A56-7A6AFF05A0EE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193" name="BC$K$45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C6FDA38-418D-4C4E-BE21-0B703AB52FB5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191" name="BC$K$45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0425DEA-22E2-4C5B-9BA4-76E639FDA95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189" name="BC$K$45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ADF6655-0FC0-4139-A31D-381518C4B79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187" name="BC$K$45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DB02BFC-8FAB-4D61-AD76-570B1D8E580F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185" name="BC$K$45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89995E5-7F48-4893-B687-27BDD249A76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183" name="BC$K$45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FC878A2-220E-4F3C-882E-D7CAAB6E33C6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181" name="BC$K$45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2395B60-62BA-4D60-BA5A-2CF92BE0C626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179" name="BC$K$45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B1AEBB3-3F08-46F9-A234-B48C38EFBA1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177" name="BC$K$45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0F40343-E011-48AD-985B-BFC0A5FAE66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175" name="BC$K$45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198C2D5-9DDA-4A4B-877D-A3419955B58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173" name="BC$K$45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BED555A-E94A-4226-9EC3-390A57279FF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171" name="BC$K$45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ABE88FD-2A98-4A49-9A66-1611B33502B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169" name="BC$K$45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5C5CF1B-DF9C-4DEC-94E2-C58F3FF9CBB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167" name="BC$K$45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B303F98-31BA-4237-B75E-B7B9A5AD9B9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165" name="BC$K$45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0D657D4-2347-479C-A219-C01A6238A8E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163" name="BC$K$45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0C4FE89-BD2C-47FA-AAB1-69C0A2CD7C8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161" name="BC$K$45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A4302A4-D2ED-4306-B5C8-67101C83D6D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159" name="BC$K$45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893A0A31-1C00-4B07-A88F-DC5F155BD5E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157" name="BC$K$45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0371497-071B-4837-83A2-C26BA8BE09E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155" name="BC$K$45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539AE60-3A0F-4332-A7C5-D64D2DF2569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153" name="BC$K$453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370A3E4-1267-4827-9ABC-712AE63F99F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154" name="BC$K$453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0F4548E-053D-4687-92C5-E8D233B2C20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156" name="BC$K$453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66591DB-6681-4AA0-9537-F933BA568D1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158" name="BC$K$453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99EA73E-1A82-4F5E-8E0F-C1A88C8E3D6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160" name="BC$K$453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D041AF8-4FC8-4891-AD4D-2C4E316775B1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162" name="BC$K$453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C4998D4-6DF1-4CF3-9BC9-E088BFF0B20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164" name="BC$K$453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60E11CD-74E6-4AA1-95E4-B325985BCC9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166" name="BC$K$453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F6A52DB-A654-4146-AA0F-C71C240E502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168" name="BC$K$453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3661B14-DBBF-4718-8BF0-488BB525FA1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170" name="BC$K$453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931EE5D-2C8E-46AB-9965-C7E71F13246C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172" name="BC$K$453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6FEE7E2-2C3D-4D39-AE16-575BB732FB7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174" name="BC$K$453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096C3A3-9EF5-4052-AAC9-3493E0202BF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176" name="BC$K$453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A9709F4-E48C-4B36-8B03-B86A499E8A6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178" name="BC$K$453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AA7FCCE-F49F-4CF4-BA2F-1F92CFB31B5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180" name="BC$K$453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545141C-0258-4E10-B2D3-B7E09FB256F2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182" name="BC$K$453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B3041D1-E924-47CD-AF6A-2DCBF7B06627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184" name="BC$K$453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39B049A-5021-400D-98A4-EBA86C5C1AF3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186" name="BC$K$453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DDDD7A6-45D5-42F5-989E-4A31949D2C6C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188" name="BC$K$453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EC625EE-DD43-49C1-B0E1-74DF83CC5397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190" name="BC$K$453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D603AC5-8B21-4DE1-91FE-D9CD3CBEF429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192" name="BC$K$453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C573C8F-4AC7-4E03-99A8-36D9317194F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194" name="BC$K$453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5FEDB68-C374-476B-8EFA-2FB5C1650BE3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196" name="BC$K$453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7764E89-2F80-4FB2-A984-81FFC9061A8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198" name="BC$K$453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D59B0F3-C6F2-4007-AA1C-9ABC76F37A6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200" name="BC$K$453#BR24">
                                      <a:extLst>
                                        <a:ext uri="{FF2B5EF4-FFF2-40B4-BE49-F238E27FC236}">
                                          <a16:creationId xmlns:a16="http://schemas.microsoft.com/office/drawing/2014/main" id="{262DD4E3-A449-413C-B721-A860E7F0A4E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202" name="BC$K$453#BR25">
                                    <a:extLst>
                                      <a:ext uri="{FF2B5EF4-FFF2-40B4-BE49-F238E27FC236}">
                                        <a16:creationId xmlns:a16="http://schemas.microsoft.com/office/drawing/2014/main" id="{1E699E1C-D283-4340-B218-3D63AAD09DED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204" name="BC$K$453#BR26">
                                  <a:extLst>
                                    <a:ext uri="{FF2B5EF4-FFF2-40B4-BE49-F238E27FC236}">
                                      <a16:creationId xmlns:a16="http://schemas.microsoft.com/office/drawing/2014/main" id="{FDE6B48F-8334-48AC-B0BA-79FE4E0E27C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206" name="BC$K$453#BR27">
                                <a:extLst>
                                  <a:ext uri="{FF2B5EF4-FFF2-40B4-BE49-F238E27FC236}">
                                    <a16:creationId xmlns:a16="http://schemas.microsoft.com/office/drawing/2014/main" id="{043989A1-5C4B-4B95-A445-E8FBB23CAA01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208" name="BC$K$453#BR28">
                              <a:extLst>
                                <a:ext uri="{FF2B5EF4-FFF2-40B4-BE49-F238E27FC236}">
                                  <a16:creationId xmlns:a16="http://schemas.microsoft.com/office/drawing/2014/main" id="{68C05BB4-D97B-4D51-A648-399E22D424F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210" name="BC$K$453#BR29">
                            <a:extLst>
                              <a:ext uri="{FF2B5EF4-FFF2-40B4-BE49-F238E27FC236}">
                                <a16:creationId xmlns:a16="http://schemas.microsoft.com/office/drawing/2014/main" id="{B9E8DDFD-CFF3-46BB-BF0D-044860CA44A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212" name="BC$K$453#BR30">
                          <a:extLst>
                            <a:ext uri="{FF2B5EF4-FFF2-40B4-BE49-F238E27FC236}">
                              <a16:creationId xmlns:a16="http://schemas.microsoft.com/office/drawing/2014/main" id="{7CC1FFD7-FA01-4CA9-A863-2CA5BE0C32B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214" name="BC$K$453#BR31">
                        <a:extLst>
                          <a:ext uri="{FF2B5EF4-FFF2-40B4-BE49-F238E27FC236}">
                            <a16:creationId xmlns:a16="http://schemas.microsoft.com/office/drawing/2014/main" id="{4A25AEC1-2596-4076-B338-3B87B71389F9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216" name="BC$K$453#BR32">
                      <a:extLst>
                        <a:ext uri="{FF2B5EF4-FFF2-40B4-BE49-F238E27FC236}">
                          <a16:creationId xmlns:a16="http://schemas.microsoft.com/office/drawing/2014/main" id="{81E6F5D3-FABC-45C0-B9F2-CA73F4B8573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218" name="BC$K$453#BR33">
                    <a:extLst>
                      <a:ext uri="{FF2B5EF4-FFF2-40B4-BE49-F238E27FC236}">
                        <a16:creationId xmlns:a16="http://schemas.microsoft.com/office/drawing/2014/main" id="{7667DE1E-C293-47DC-A302-DC2289B1866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220" name="BC$K$453#BR34">
                  <a:extLst>
                    <a:ext uri="{FF2B5EF4-FFF2-40B4-BE49-F238E27FC236}">
                      <a16:creationId xmlns:a16="http://schemas.microsoft.com/office/drawing/2014/main" id="{E62ACE8D-B78D-47CD-A437-C5C7E909C37F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222" name="BC$K$453#BR35">
                <a:extLst>
                  <a:ext uri="{FF2B5EF4-FFF2-40B4-BE49-F238E27FC236}">
                    <a16:creationId xmlns:a16="http://schemas.microsoft.com/office/drawing/2014/main" id="{C9D7F74B-1FDC-496F-8AA4-0572617C6DE4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224" name="BC$K$453#BR36">
              <a:extLst>
                <a:ext uri="{FF2B5EF4-FFF2-40B4-BE49-F238E27FC236}">
                  <a16:creationId xmlns:a16="http://schemas.microsoft.com/office/drawing/2014/main" id="{3D8D763A-095C-497F-A340-683FD41E361A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226" name="BC$K$453#BR37">
            <a:extLst>
              <a:ext uri="{FF2B5EF4-FFF2-40B4-BE49-F238E27FC236}">
                <a16:creationId xmlns:a16="http://schemas.microsoft.com/office/drawing/2014/main" id="{0BA1A0D2-ABC1-4125-B750-F3300B7B43DF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459</xdr:row>
      <xdr:rowOff>0</xdr:rowOff>
    </xdr:from>
    <xdr:to>
      <xdr:col>27</xdr:col>
      <xdr:colOff>190500</xdr:colOff>
      <xdr:row>461</xdr:row>
      <xdr:rowOff>0</xdr:rowOff>
    </xdr:to>
    <xdr:grpSp>
      <xdr:nvGrpSpPr>
        <xdr:cNvPr id="14302" name="BC$Y$453#GR">
          <a:extLst>
            <a:ext uri="{FF2B5EF4-FFF2-40B4-BE49-F238E27FC236}">
              <a16:creationId xmlns:a16="http://schemas.microsoft.com/office/drawing/2014/main" id="{1BFA9181-24B4-40F9-8AE3-4B499304616F}"/>
            </a:ext>
          </a:extLst>
        </xdr:cNvPr>
        <xdr:cNvGrpSpPr/>
      </xdr:nvGrpSpPr>
      <xdr:grpSpPr>
        <a:xfrm>
          <a:off x="5772150" y="87344250"/>
          <a:ext cx="381000" cy="381000"/>
          <a:chOff x="0" y="0"/>
          <a:chExt cx="381000" cy="381000"/>
        </a:xfrm>
      </xdr:grpSpPr>
      <xdr:grpSp>
        <xdr:nvGrpSpPr>
          <xdr:cNvPr id="14300" name="BC$Y$453#GR">
            <a:extLst>
              <a:ext uri="{FF2B5EF4-FFF2-40B4-BE49-F238E27FC236}">
                <a16:creationId xmlns:a16="http://schemas.microsoft.com/office/drawing/2014/main" id="{79BC08AC-A2A0-4DD5-945A-32D0F9052D67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298" name="BC$Y$453#GR">
              <a:extLst>
                <a:ext uri="{FF2B5EF4-FFF2-40B4-BE49-F238E27FC236}">
                  <a16:creationId xmlns:a16="http://schemas.microsoft.com/office/drawing/2014/main" id="{4E3F9F39-91D7-483F-BE4B-E94DE488C836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296" name="BC$Y$453#GR">
                <a:extLst>
                  <a:ext uri="{FF2B5EF4-FFF2-40B4-BE49-F238E27FC236}">
                    <a16:creationId xmlns:a16="http://schemas.microsoft.com/office/drawing/2014/main" id="{D4AE843D-CCEE-48FD-8E1F-22F58EB40D0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294" name="BC$Y$453#GR">
                  <a:extLst>
                    <a:ext uri="{FF2B5EF4-FFF2-40B4-BE49-F238E27FC236}">
                      <a16:creationId xmlns:a16="http://schemas.microsoft.com/office/drawing/2014/main" id="{03987A43-FDEC-4135-B089-A412096F3BA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292" name="BC$Y$453#GR">
                    <a:extLst>
                      <a:ext uri="{FF2B5EF4-FFF2-40B4-BE49-F238E27FC236}">
                        <a16:creationId xmlns:a16="http://schemas.microsoft.com/office/drawing/2014/main" id="{4D5DA879-7BAB-4369-B9C2-02062B486189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290" name="BC$Y$453#GR">
                      <a:extLst>
                        <a:ext uri="{FF2B5EF4-FFF2-40B4-BE49-F238E27FC236}">
                          <a16:creationId xmlns:a16="http://schemas.microsoft.com/office/drawing/2014/main" id="{623936EA-0456-42C4-B555-6C45C6EE6059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288" name="BC$Y$453#GR">
                        <a:extLst>
                          <a:ext uri="{FF2B5EF4-FFF2-40B4-BE49-F238E27FC236}">
                            <a16:creationId xmlns:a16="http://schemas.microsoft.com/office/drawing/2014/main" id="{2FC2D508-0609-4398-A422-B2561FE1D21D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286" name="BC$Y$453#GR">
                          <a:extLst>
                            <a:ext uri="{FF2B5EF4-FFF2-40B4-BE49-F238E27FC236}">
                              <a16:creationId xmlns:a16="http://schemas.microsoft.com/office/drawing/2014/main" id="{7BD190C9-5F90-4FD1-B122-94450684374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284" name="BC$Y$453#GR">
                            <a:extLst>
                              <a:ext uri="{FF2B5EF4-FFF2-40B4-BE49-F238E27FC236}">
                                <a16:creationId xmlns:a16="http://schemas.microsoft.com/office/drawing/2014/main" id="{B75ECEB5-8F4F-4F3B-AAFD-6D2C427138EC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282" name="BC$Y$453#GR">
                              <a:extLst>
                                <a:ext uri="{FF2B5EF4-FFF2-40B4-BE49-F238E27FC236}">
                                  <a16:creationId xmlns:a16="http://schemas.microsoft.com/office/drawing/2014/main" id="{4FEEB398-BD4E-4486-898B-0E6DB7E2D6E3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280" name="BC$Y$453#GR">
                                <a:extLst>
                                  <a:ext uri="{FF2B5EF4-FFF2-40B4-BE49-F238E27FC236}">
                                    <a16:creationId xmlns:a16="http://schemas.microsoft.com/office/drawing/2014/main" id="{0D5A5788-FCDA-4EE7-A2A0-65EB7A2B83D8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278" name="BC$Y$453#GR">
                                  <a:extLst>
                                    <a:ext uri="{FF2B5EF4-FFF2-40B4-BE49-F238E27FC236}">
                                      <a16:creationId xmlns:a16="http://schemas.microsoft.com/office/drawing/2014/main" id="{7E0D7547-A5F6-41C5-88FD-A3848C39BBD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276" name="BC$Y$453#GR">
                                    <a:extLst>
                                      <a:ext uri="{FF2B5EF4-FFF2-40B4-BE49-F238E27FC236}">
                                        <a16:creationId xmlns:a16="http://schemas.microsoft.com/office/drawing/2014/main" id="{0A1FCBDD-7CA8-41E8-8859-A81876822B1C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274" name="BC$Y$453#GR">
                                      <a:extLst>
                                        <a:ext uri="{FF2B5EF4-FFF2-40B4-BE49-F238E27FC236}">
                                          <a16:creationId xmlns:a16="http://schemas.microsoft.com/office/drawing/2014/main" id="{A8B12F8B-BBCD-4AD2-AFD8-842544C29F3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272" name="BC$Y$45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FF99757-F680-4456-BE4E-545060F2E32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270" name="BC$Y$45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8E99FF1-72D5-44BF-A13B-0932DF8C1EBA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268" name="BC$Y$45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C607D64-4DCE-4AB5-B3C0-C6AABCB2346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266" name="BC$Y$45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3C6C06C-B2E3-4DDD-860F-B79B04C0F85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264" name="BC$Y$45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C7213C1-9392-44C8-B827-D2BD8724EF8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262" name="BC$Y$45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0B69563-B25E-4410-B52A-5F7C1A104CFB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260" name="BC$Y$45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866FE22D-5191-45D9-A00E-570E34DD158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258" name="BC$Y$45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CC43A6F-BF7C-4686-BABD-2F67AA0F2671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256" name="BC$Y$45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B1E721E-6C93-41F4-A90D-87EA26B243C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254" name="BC$Y$45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01FD473-B9D2-45DB-9240-29010A0114DD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252" name="BC$Y$45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89EAC22-7DA2-4E37-A71F-196449D4DC1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250" name="BC$Y$45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1613DDD-DFD5-4587-B87B-CEEF44B840AC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248" name="BC$Y$45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27A227D-DB47-4600-9AE3-E990D30C764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246" name="BC$Y$45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5F7BC60-9049-4704-A993-5E3F6108666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244" name="BC$Y$45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D3E17E9-54F7-4772-8507-720B143A381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242" name="BC$Y$45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56F0D53-B96B-43D2-BEA0-83EBFBD736F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240" name="BC$Y$45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250EE05-1BB1-4EDF-8E77-42FE1B80957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238" name="BC$Y$45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92DFAC7-3D26-4FE5-BDA5-3523976C8FD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236" name="BC$Y$45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806BAF8-A043-4DFC-9A10-A1CDF54A200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234" name="BC$Y$45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C0656BF-C72D-491D-813A-6F57371AD39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232" name="BC$Y$45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57AA64E-94F7-43E0-A82F-29F0EEDF24D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230" name="BC$Y$45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6339A57-4D95-410B-85BC-DB130B6C050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228" name="BC$Y$453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24723A2-F74B-4A2E-B608-99320DC1232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229" name="BC$Y$453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A8D75D9-2FA9-4400-8B00-82FEB67B905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231" name="BC$Y$453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373C28A-2FDE-4D64-8C87-8BEFC74F5BF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233" name="BC$Y$453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D838E34-8D5B-472B-8263-388681C6A1D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235" name="BC$Y$453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42DAF2E-09C2-478D-9CA8-3552025DA2C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237" name="BC$Y$453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822D35C-F974-466D-9760-A4EB9E49393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239" name="BC$Y$453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0E41B7A-0F86-4488-A202-F2A0EA6B826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241" name="BC$Y$453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CC1BDB6-7162-4675-ACD0-482F244632F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243" name="BC$Y$453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6DED98E-E03A-4095-B000-1DE3F643FB1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245" name="BC$Y$453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C5C17E8-F08F-4254-912D-1E437AB6F36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247" name="BC$Y$453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01D31B0-A5DB-46DB-A6BC-595F6A34BC5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249" name="BC$Y$453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FC2658E-63AD-4A1F-84DE-E6EC3BD0784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251" name="BC$Y$453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A5C03B4-FF11-455A-942B-7A64FECB06C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253" name="BC$Y$453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E3B4104-6244-4A2F-8F78-179A8BEDAA1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255" name="BC$Y$453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7FCFD0C-359B-42A8-A81E-C3F70B79B561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257" name="BC$Y$453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4298810-66C1-4BEF-A4D7-131D2303F5E2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259" name="BC$Y$453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593A515-61C3-40B3-B761-E1F3E7930857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261" name="BC$Y$453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64FC03C-336C-4D3F-9E11-45DB5643DCB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263" name="BC$Y$453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FE29BB3-6B2B-4D34-91D1-8E34E48B2F9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265" name="BC$Y$453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0EB761A-C957-4F36-9F81-4448BD7C55FD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267" name="BC$Y$453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4FA6669-993D-4E4D-930F-58970143EFF3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269" name="BC$Y$453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E3948CE-B346-4542-B63A-01F5257F249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271" name="BC$Y$453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22F82E5-F3C9-4A7E-89D4-BB6D5EBBA57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273" name="BC$Y$453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D64EBF0-67BE-4B01-9D9D-C83C68ACFF16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275" name="BC$Y$453#BR24">
                                      <a:extLst>
                                        <a:ext uri="{FF2B5EF4-FFF2-40B4-BE49-F238E27FC236}">
                                          <a16:creationId xmlns:a16="http://schemas.microsoft.com/office/drawing/2014/main" id="{C2C85FFE-7FE9-47AD-BDA8-045A3D0DB9C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277" name="BC$Y$453#BR25">
                                    <a:extLst>
                                      <a:ext uri="{FF2B5EF4-FFF2-40B4-BE49-F238E27FC236}">
                                        <a16:creationId xmlns:a16="http://schemas.microsoft.com/office/drawing/2014/main" id="{4FCFDE17-B9C7-4131-9ED1-42291B382868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279" name="BC$Y$453#BR26">
                                  <a:extLst>
                                    <a:ext uri="{FF2B5EF4-FFF2-40B4-BE49-F238E27FC236}">
                                      <a16:creationId xmlns:a16="http://schemas.microsoft.com/office/drawing/2014/main" id="{15F995F6-01F8-408E-8E2E-3E9A5AA2EB5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281" name="BC$Y$453#BR27">
                                <a:extLst>
                                  <a:ext uri="{FF2B5EF4-FFF2-40B4-BE49-F238E27FC236}">
                                    <a16:creationId xmlns:a16="http://schemas.microsoft.com/office/drawing/2014/main" id="{CF747F37-3A96-4763-AED1-4CEACBA342C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283" name="BC$Y$453#BR28">
                              <a:extLst>
                                <a:ext uri="{FF2B5EF4-FFF2-40B4-BE49-F238E27FC236}">
                                  <a16:creationId xmlns:a16="http://schemas.microsoft.com/office/drawing/2014/main" id="{9E1225D0-4774-4E70-859B-4DF37741456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285" name="BC$Y$453#BR29">
                            <a:extLst>
                              <a:ext uri="{FF2B5EF4-FFF2-40B4-BE49-F238E27FC236}">
                                <a16:creationId xmlns:a16="http://schemas.microsoft.com/office/drawing/2014/main" id="{CA3DD533-4F56-4136-BED1-1AFDD2418804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287" name="BC$Y$453#BR30">
                          <a:extLst>
                            <a:ext uri="{FF2B5EF4-FFF2-40B4-BE49-F238E27FC236}">
                              <a16:creationId xmlns:a16="http://schemas.microsoft.com/office/drawing/2014/main" id="{47AE1955-7457-49CC-BFE3-6CB17C05B5D9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289" name="BC$Y$453#BR31">
                        <a:extLst>
                          <a:ext uri="{FF2B5EF4-FFF2-40B4-BE49-F238E27FC236}">
                            <a16:creationId xmlns:a16="http://schemas.microsoft.com/office/drawing/2014/main" id="{B3C9BBBB-5B5F-4A1C-B177-28692A08286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291" name="BC$Y$453#BR32">
                      <a:extLst>
                        <a:ext uri="{FF2B5EF4-FFF2-40B4-BE49-F238E27FC236}">
                          <a16:creationId xmlns:a16="http://schemas.microsoft.com/office/drawing/2014/main" id="{6D75DBD8-B8ED-4384-B19B-E30D7F745F8A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293" name="BC$Y$453#BR33">
                    <a:extLst>
                      <a:ext uri="{FF2B5EF4-FFF2-40B4-BE49-F238E27FC236}">
                        <a16:creationId xmlns:a16="http://schemas.microsoft.com/office/drawing/2014/main" id="{9057675D-51DF-4A71-AA91-B5BCEB35ED6F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295" name="BC$Y$453#BR34">
                  <a:extLst>
                    <a:ext uri="{FF2B5EF4-FFF2-40B4-BE49-F238E27FC236}">
                      <a16:creationId xmlns:a16="http://schemas.microsoft.com/office/drawing/2014/main" id="{19C030F9-2FF6-4DF6-B860-CF326BE7016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297" name="BC$Y$453#BR35">
                <a:extLst>
                  <a:ext uri="{FF2B5EF4-FFF2-40B4-BE49-F238E27FC236}">
                    <a16:creationId xmlns:a16="http://schemas.microsoft.com/office/drawing/2014/main" id="{70CF4B01-5A24-4FB9-85D3-BBEB10604B7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299" name="BC$Y$453#BR36">
              <a:extLst>
                <a:ext uri="{FF2B5EF4-FFF2-40B4-BE49-F238E27FC236}">
                  <a16:creationId xmlns:a16="http://schemas.microsoft.com/office/drawing/2014/main" id="{D003CDF7-AC80-4B15-9E49-4C43226E7CBB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301" name="BC$Y$453#BR37">
            <a:extLst>
              <a:ext uri="{FF2B5EF4-FFF2-40B4-BE49-F238E27FC236}">
                <a16:creationId xmlns:a16="http://schemas.microsoft.com/office/drawing/2014/main" id="{AC8F01A1-1E2C-4F50-8EC7-5C27CFCC8925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28575</xdr:colOff>
      <xdr:row>470</xdr:row>
      <xdr:rowOff>0</xdr:rowOff>
    </xdr:from>
    <xdr:to>
      <xdr:col>13</xdr:col>
      <xdr:colOff>190500</xdr:colOff>
      <xdr:row>472</xdr:row>
      <xdr:rowOff>0</xdr:rowOff>
    </xdr:to>
    <xdr:grpSp>
      <xdr:nvGrpSpPr>
        <xdr:cNvPr id="14377" name="BC$K$464#GR">
          <a:extLst>
            <a:ext uri="{FF2B5EF4-FFF2-40B4-BE49-F238E27FC236}">
              <a16:creationId xmlns:a16="http://schemas.microsoft.com/office/drawing/2014/main" id="{1C14F3EC-254F-4A28-842F-617A42D0D3DC}"/>
            </a:ext>
          </a:extLst>
        </xdr:cNvPr>
        <xdr:cNvGrpSpPr/>
      </xdr:nvGrpSpPr>
      <xdr:grpSpPr>
        <a:xfrm>
          <a:off x="2657475" y="89439750"/>
          <a:ext cx="381000" cy="381000"/>
          <a:chOff x="0" y="0"/>
          <a:chExt cx="381000" cy="381000"/>
        </a:xfrm>
      </xdr:grpSpPr>
      <xdr:grpSp>
        <xdr:nvGrpSpPr>
          <xdr:cNvPr id="14375" name="BC$K$464#GR">
            <a:extLst>
              <a:ext uri="{FF2B5EF4-FFF2-40B4-BE49-F238E27FC236}">
                <a16:creationId xmlns:a16="http://schemas.microsoft.com/office/drawing/2014/main" id="{91F7D7B7-761A-4E50-86C5-EAF99588F3D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373" name="BC$K$464#GR">
              <a:extLst>
                <a:ext uri="{FF2B5EF4-FFF2-40B4-BE49-F238E27FC236}">
                  <a16:creationId xmlns:a16="http://schemas.microsoft.com/office/drawing/2014/main" id="{63A1D0F1-F963-481E-95E9-746CEFDB89F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371" name="BC$K$464#GR">
                <a:extLst>
                  <a:ext uri="{FF2B5EF4-FFF2-40B4-BE49-F238E27FC236}">
                    <a16:creationId xmlns:a16="http://schemas.microsoft.com/office/drawing/2014/main" id="{C3A5EE5E-3E9C-42E5-AD55-5F2606E52443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369" name="BC$K$464#GR">
                  <a:extLst>
                    <a:ext uri="{FF2B5EF4-FFF2-40B4-BE49-F238E27FC236}">
                      <a16:creationId xmlns:a16="http://schemas.microsoft.com/office/drawing/2014/main" id="{ED53A392-BF11-4604-B420-179B732A656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367" name="BC$K$464#GR">
                    <a:extLst>
                      <a:ext uri="{FF2B5EF4-FFF2-40B4-BE49-F238E27FC236}">
                        <a16:creationId xmlns:a16="http://schemas.microsoft.com/office/drawing/2014/main" id="{8CD7B0CE-47BD-464F-A396-A854D21550A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365" name="BC$K$464#GR">
                      <a:extLst>
                        <a:ext uri="{FF2B5EF4-FFF2-40B4-BE49-F238E27FC236}">
                          <a16:creationId xmlns:a16="http://schemas.microsoft.com/office/drawing/2014/main" id="{C09A85D1-583E-46C7-8F6F-92852398641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363" name="BC$K$464#GR">
                        <a:extLst>
                          <a:ext uri="{FF2B5EF4-FFF2-40B4-BE49-F238E27FC236}">
                            <a16:creationId xmlns:a16="http://schemas.microsoft.com/office/drawing/2014/main" id="{F037D43A-E08A-4390-9F1C-2A17BFE932C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361" name="BC$K$464#GR">
                          <a:extLst>
                            <a:ext uri="{FF2B5EF4-FFF2-40B4-BE49-F238E27FC236}">
                              <a16:creationId xmlns:a16="http://schemas.microsoft.com/office/drawing/2014/main" id="{7A00D4CD-058B-4D13-A2EC-1C75D663C126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359" name="BC$K$464#GR">
                            <a:extLst>
                              <a:ext uri="{FF2B5EF4-FFF2-40B4-BE49-F238E27FC236}">
                                <a16:creationId xmlns:a16="http://schemas.microsoft.com/office/drawing/2014/main" id="{D3C3005D-4C75-4329-A585-F1A9C4953FA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357" name="BC$K$464#GR">
                              <a:extLst>
                                <a:ext uri="{FF2B5EF4-FFF2-40B4-BE49-F238E27FC236}">
                                  <a16:creationId xmlns:a16="http://schemas.microsoft.com/office/drawing/2014/main" id="{F958A40D-3DF8-4AFA-AF07-898264AE9F6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355" name="BC$K$464#GR">
                                <a:extLst>
                                  <a:ext uri="{FF2B5EF4-FFF2-40B4-BE49-F238E27FC236}">
                                    <a16:creationId xmlns:a16="http://schemas.microsoft.com/office/drawing/2014/main" id="{2B699897-6D75-4D67-8CC9-2E21D9B39ED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353" name="BC$K$464#GR">
                                  <a:extLst>
                                    <a:ext uri="{FF2B5EF4-FFF2-40B4-BE49-F238E27FC236}">
                                      <a16:creationId xmlns:a16="http://schemas.microsoft.com/office/drawing/2014/main" id="{4208D19E-3468-46E0-84EF-6D4BE11BBA6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351" name="BC$K$464#GR">
                                    <a:extLst>
                                      <a:ext uri="{FF2B5EF4-FFF2-40B4-BE49-F238E27FC236}">
                                        <a16:creationId xmlns:a16="http://schemas.microsoft.com/office/drawing/2014/main" id="{90564744-DCCF-40F1-AB94-2E6BB0437CE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349" name="BC$K$464#GR">
                                      <a:extLst>
                                        <a:ext uri="{FF2B5EF4-FFF2-40B4-BE49-F238E27FC236}">
                                          <a16:creationId xmlns:a16="http://schemas.microsoft.com/office/drawing/2014/main" id="{FDF41A24-45BC-4B94-887D-F157DA3F1DCC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347" name="BC$K$46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4FC3492-F1A1-4EAA-87B2-F4259AADD62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345" name="BC$K$46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4C6C200-F0B7-48C1-A0E3-F87338513A21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343" name="BC$K$46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553C564-BB2D-48B6-BBC1-E221C7484929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341" name="BC$K$46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F671202-A4E9-4ED2-B8EE-C9C77FD67A65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339" name="BC$K$46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A9A466B-E962-4536-8C9F-FCE099A9A5C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337" name="BC$K$46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6BB3EF2-B61B-4255-A93D-43DB668CFBAD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335" name="BC$K$46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3413092-AA33-4FFE-A501-E30A08B72B82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333" name="BC$K$46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4435F54-7AAA-4569-90D2-AB685262D2C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331" name="BC$K$46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206FBB6-8853-4902-9036-2EB8E70E708D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329" name="BC$K$46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F1857DB-177B-4E60-8778-8888DCFF22CD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327" name="BC$K$46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6488DB0-B321-42DB-B6C3-878785021E0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325" name="BC$K$46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7635EFB-8006-4386-8C6E-31D6BB5DCF0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323" name="BC$K$46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289B4D9-A0DC-4496-85C5-B4B090D1C89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321" name="BC$K$46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A954DCE-8CD2-4A7B-A968-BD6FD6DA239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319" name="BC$K$46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997593E-31DD-4606-8DA0-7122604E92A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317" name="BC$K$46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5801FAE-565D-474B-964A-3B5D04D836C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315" name="BC$K$46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52556FA-A3C0-414A-A332-CD00DD15C8C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313" name="BC$K$46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01A5201-9141-42D6-9E0A-830D8F64B53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311" name="BC$K$46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A7C0C31-305F-4E67-92DA-BC0CFE71B2E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309" name="BC$K$46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13F2A4D-2BAD-4195-B0C6-76BF8BC88F1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307" name="BC$K$46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C38E000-116C-4F36-86FB-B9F2467B187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305" name="BC$K$46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EA11C64-EC27-4CA9-AF4C-F1040EB1786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303" name="BC$K$464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41EE4A3-7A4D-460F-BF44-DB7747C2F20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304" name="BC$K$464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C09D443-6162-4E99-A973-AD3DE582D7C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306" name="BC$K$464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8441CE0-1960-429A-841E-FD963FB3D86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308" name="BC$K$464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D59FF5D-1F33-4C54-AE7A-2A5E467CB15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310" name="BC$K$464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34BD3CC-7827-4B58-9E20-B3E4D4916CD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312" name="BC$K$464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0CB99D2-3FC8-42E7-A009-DC71473814B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314" name="BC$K$464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656AE55-410F-4704-904C-7D61A8C1A80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316" name="BC$K$464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2869BDC-B26B-41D7-B8E8-0D5E33CB5C1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318" name="BC$K$464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069487D-F51A-4E1C-9AC3-CD6F4034C5F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320" name="BC$K$464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7B04A7A-AA6C-4B64-9890-CD639DB8564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322" name="BC$K$464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2160EEB-1F83-4000-8907-399CF956254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324" name="BC$K$464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72A6A3DC-BE30-402C-96D0-E321FE1E26A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326" name="BC$K$464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72A1386-EC87-4578-BEC6-B46A9B3BF97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328" name="BC$K$464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B8C1445-7423-4563-B47F-E92B202CCCB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330" name="BC$K$464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62DE537-6DAE-4D27-8733-3537EB52494D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332" name="BC$K$464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3EA8E1A-F188-4E08-8CC2-04A5B0D719B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334" name="BC$K$464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34C378F-5534-4A8E-B3F4-F4403A31421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336" name="BC$K$464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664BB00-5C93-4D60-8D9E-02513475B14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338" name="BC$K$464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8075175-E296-430F-BF3C-EF30FC732982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340" name="BC$K$464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80199C8-B325-4472-A10E-C282B12679C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342" name="BC$K$464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6384C44-B4D5-4A91-9A9D-E34840CC77D7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344" name="BC$K$464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C384FA60-E874-431F-85E3-FB88A2971A9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346" name="BC$K$464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8F75A1F-5A70-44EE-AB4C-578057A71343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348" name="BC$K$464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873D185-96C2-45F8-AA39-467D8E750DC2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350" name="BC$K$464#BR24">
                                      <a:extLst>
                                        <a:ext uri="{FF2B5EF4-FFF2-40B4-BE49-F238E27FC236}">
                                          <a16:creationId xmlns:a16="http://schemas.microsoft.com/office/drawing/2014/main" id="{1EE906C8-87E3-4787-90AC-CD8C2FCCFA8D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352" name="BC$K$464#BR25">
                                    <a:extLst>
                                      <a:ext uri="{FF2B5EF4-FFF2-40B4-BE49-F238E27FC236}">
                                        <a16:creationId xmlns:a16="http://schemas.microsoft.com/office/drawing/2014/main" id="{CE8E046B-B150-426E-B752-3AB19A79026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354" name="BC$K$464#BR26">
                                  <a:extLst>
                                    <a:ext uri="{FF2B5EF4-FFF2-40B4-BE49-F238E27FC236}">
                                      <a16:creationId xmlns:a16="http://schemas.microsoft.com/office/drawing/2014/main" id="{7C9F70C0-2C7B-4D9E-B9B2-0D58B17995B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356" name="BC$K$464#BR27">
                                <a:extLst>
                                  <a:ext uri="{FF2B5EF4-FFF2-40B4-BE49-F238E27FC236}">
                                    <a16:creationId xmlns:a16="http://schemas.microsoft.com/office/drawing/2014/main" id="{BB481912-E439-4336-8011-D59A1F3978C7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358" name="BC$K$464#BR28">
                              <a:extLst>
                                <a:ext uri="{FF2B5EF4-FFF2-40B4-BE49-F238E27FC236}">
                                  <a16:creationId xmlns:a16="http://schemas.microsoft.com/office/drawing/2014/main" id="{A4FC9260-8CEE-4523-BC43-1AB4500F03E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360" name="BC$K$464#BR29">
                            <a:extLst>
                              <a:ext uri="{FF2B5EF4-FFF2-40B4-BE49-F238E27FC236}">
                                <a16:creationId xmlns:a16="http://schemas.microsoft.com/office/drawing/2014/main" id="{CF20DC96-BAE2-4BD1-BBE8-A59A2B3AE05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362" name="BC$K$464#BR30">
                          <a:extLst>
                            <a:ext uri="{FF2B5EF4-FFF2-40B4-BE49-F238E27FC236}">
                              <a16:creationId xmlns:a16="http://schemas.microsoft.com/office/drawing/2014/main" id="{D04C5FB2-9F9A-4FAB-A259-D6439A5A4F3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364" name="BC$K$464#BR31">
                        <a:extLst>
                          <a:ext uri="{FF2B5EF4-FFF2-40B4-BE49-F238E27FC236}">
                            <a16:creationId xmlns:a16="http://schemas.microsoft.com/office/drawing/2014/main" id="{E327643F-F9FF-41A5-9364-0ACF96ECFE8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366" name="BC$K$464#BR32">
                      <a:extLst>
                        <a:ext uri="{FF2B5EF4-FFF2-40B4-BE49-F238E27FC236}">
                          <a16:creationId xmlns:a16="http://schemas.microsoft.com/office/drawing/2014/main" id="{FA02264A-534C-4C68-AA2B-7E31F78EC5D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368" name="BC$K$464#BR33">
                    <a:extLst>
                      <a:ext uri="{FF2B5EF4-FFF2-40B4-BE49-F238E27FC236}">
                        <a16:creationId xmlns:a16="http://schemas.microsoft.com/office/drawing/2014/main" id="{2034114C-751D-412B-9FBB-136971A2D71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370" name="BC$K$464#BR34">
                  <a:extLst>
                    <a:ext uri="{FF2B5EF4-FFF2-40B4-BE49-F238E27FC236}">
                      <a16:creationId xmlns:a16="http://schemas.microsoft.com/office/drawing/2014/main" id="{1656B74C-2625-4841-B4CC-DE69C259DE9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372" name="BC$K$464#BR35">
                <a:extLst>
                  <a:ext uri="{FF2B5EF4-FFF2-40B4-BE49-F238E27FC236}">
                    <a16:creationId xmlns:a16="http://schemas.microsoft.com/office/drawing/2014/main" id="{83838089-074E-40A3-8946-9BE5562CDC0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374" name="BC$K$464#BR36">
              <a:extLst>
                <a:ext uri="{FF2B5EF4-FFF2-40B4-BE49-F238E27FC236}">
                  <a16:creationId xmlns:a16="http://schemas.microsoft.com/office/drawing/2014/main" id="{5DF3E504-B328-432F-89F8-6B309AA51411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376" name="BC$K$464#BR37">
            <a:extLst>
              <a:ext uri="{FF2B5EF4-FFF2-40B4-BE49-F238E27FC236}">
                <a16:creationId xmlns:a16="http://schemas.microsoft.com/office/drawing/2014/main" id="{EE6BFA53-8C08-45B6-9253-20F22DF61DF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19050</xdr:colOff>
      <xdr:row>470</xdr:row>
      <xdr:rowOff>0</xdr:rowOff>
    </xdr:from>
    <xdr:to>
      <xdr:col>27</xdr:col>
      <xdr:colOff>180975</xdr:colOff>
      <xdr:row>472</xdr:row>
      <xdr:rowOff>0</xdr:rowOff>
    </xdr:to>
    <xdr:grpSp>
      <xdr:nvGrpSpPr>
        <xdr:cNvPr id="14452" name="BC$Y$464#GR">
          <a:extLst>
            <a:ext uri="{FF2B5EF4-FFF2-40B4-BE49-F238E27FC236}">
              <a16:creationId xmlns:a16="http://schemas.microsoft.com/office/drawing/2014/main" id="{46DC8FF3-B267-4C74-AEF6-4457342E7213}"/>
            </a:ext>
          </a:extLst>
        </xdr:cNvPr>
        <xdr:cNvGrpSpPr/>
      </xdr:nvGrpSpPr>
      <xdr:grpSpPr>
        <a:xfrm>
          <a:off x="5762625" y="89439750"/>
          <a:ext cx="381000" cy="381000"/>
          <a:chOff x="0" y="0"/>
          <a:chExt cx="381000" cy="381000"/>
        </a:xfrm>
      </xdr:grpSpPr>
      <xdr:grpSp>
        <xdr:nvGrpSpPr>
          <xdr:cNvPr id="14450" name="BC$Y$464#GR">
            <a:extLst>
              <a:ext uri="{FF2B5EF4-FFF2-40B4-BE49-F238E27FC236}">
                <a16:creationId xmlns:a16="http://schemas.microsoft.com/office/drawing/2014/main" id="{B87645DB-A8A6-4378-A3BB-F266372E557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448" name="BC$Y$464#GR">
              <a:extLst>
                <a:ext uri="{FF2B5EF4-FFF2-40B4-BE49-F238E27FC236}">
                  <a16:creationId xmlns:a16="http://schemas.microsoft.com/office/drawing/2014/main" id="{3AD8A626-0D5B-4768-ADA0-CB69CDF57AE9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446" name="BC$Y$464#GR">
                <a:extLst>
                  <a:ext uri="{FF2B5EF4-FFF2-40B4-BE49-F238E27FC236}">
                    <a16:creationId xmlns:a16="http://schemas.microsoft.com/office/drawing/2014/main" id="{2957BE82-3809-4E25-B945-D1F975FD20D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444" name="BC$Y$464#GR">
                  <a:extLst>
                    <a:ext uri="{FF2B5EF4-FFF2-40B4-BE49-F238E27FC236}">
                      <a16:creationId xmlns:a16="http://schemas.microsoft.com/office/drawing/2014/main" id="{6281EEEB-DC46-4CBC-93A4-59A00BD8BEFD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442" name="BC$Y$464#GR">
                    <a:extLst>
                      <a:ext uri="{FF2B5EF4-FFF2-40B4-BE49-F238E27FC236}">
                        <a16:creationId xmlns:a16="http://schemas.microsoft.com/office/drawing/2014/main" id="{83AA2510-2DCB-40C3-AF30-5972BFDB5F23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440" name="BC$Y$464#GR">
                      <a:extLst>
                        <a:ext uri="{FF2B5EF4-FFF2-40B4-BE49-F238E27FC236}">
                          <a16:creationId xmlns:a16="http://schemas.microsoft.com/office/drawing/2014/main" id="{60959569-052F-439F-A548-05B493DC2E27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438" name="BC$Y$464#GR">
                        <a:extLst>
                          <a:ext uri="{FF2B5EF4-FFF2-40B4-BE49-F238E27FC236}">
                            <a16:creationId xmlns:a16="http://schemas.microsoft.com/office/drawing/2014/main" id="{E02DC2AF-4DDC-4342-A784-BBB73664095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436" name="BC$Y$464#GR">
                          <a:extLst>
                            <a:ext uri="{FF2B5EF4-FFF2-40B4-BE49-F238E27FC236}">
                              <a16:creationId xmlns:a16="http://schemas.microsoft.com/office/drawing/2014/main" id="{CFE17FAB-A1C6-49C2-B264-FF0B07A209CE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434" name="BC$Y$464#GR">
                            <a:extLst>
                              <a:ext uri="{FF2B5EF4-FFF2-40B4-BE49-F238E27FC236}">
                                <a16:creationId xmlns:a16="http://schemas.microsoft.com/office/drawing/2014/main" id="{97635618-3BE1-4B46-AB9F-DA3EDC18DB1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432" name="BC$Y$464#GR">
                              <a:extLst>
                                <a:ext uri="{FF2B5EF4-FFF2-40B4-BE49-F238E27FC236}">
                                  <a16:creationId xmlns:a16="http://schemas.microsoft.com/office/drawing/2014/main" id="{7D9307D9-2E9E-4BEC-83A0-51C43E46303A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430" name="BC$Y$464#GR">
                                <a:extLst>
                                  <a:ext uri="{FF2B5EF4-FFF2-40B4-BE49-F238E27FC236}">
                                    <a16:creationId xmlns:a16="http://schemas.microsoft.com/office/drawing/2014/main" id="{D4475894-6EF2-44A3-99EA-20A0F7B16AF2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428" name="BC$Y$464#GR">
                                  <a:extLst>
                                    <a:ext uri="{FF2B5EF4-FFF2-40B4-BE49-F238E27FC236}">
                                      <a16:creationId xmlns:a16="http://schemas.microsoft.com/office/drawing/2014/main" id="{DCE9123B-89A9-42AF-9F91-8F7956D4DAE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426" name="BC$Y$464#GR">
                                    <a:extLst>
                                      <a:ext uri="{FF2B5EF4-FFF2-40B4-BE49-F238E27FC236}">
                                        <a16:creationId xmlns:a16="http://schemas.microsoft.com/office/drawing/2014/main" id="{D2B22AFF-5805-4026-A5B9-AF5ACF80A3B2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424" name="BC$Y$464#GR">
                                      <a:extLst>
                                        <a:ext uri="{FF2B5EF4-FFF2-40B4-BE49-F238E27FC236}">
                                          <a16:creationId xmlns:a16="http://schemas.microsoft.com/office/drawing/2014/main" id="{C9115223-352B-42EB-9BF3-4B0BA966B38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422" name="BC$Y$46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20F45A5-7EB2-468F-B67E-B3D99D518E2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420" name="BC$Y$46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05CC49A-E224-4511-A91E-225478028BCB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418" name="BC$Y$46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1C59EDA-5903-493C-A23E-93F2827D85E8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416" name="BC$Y$46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5AD4945-274E-4898-8409-F732FB0BDD9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414" name="BC$Y$46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AC6B2CD-8341-4AFB-B8F5-B3313015D1A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412" name="BC$Y$46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87C141C-C9EC-4729-B8FC-AC3385939341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410" name="BC$Y$46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4D55C93-1E03-4A33-9699-E5D0F9DED60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408" name="BC$Y$46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2D93107-8251-45AC-B9CC-DDFB713B496A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406" name="BC$Y$46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B5E201E-FDC6-4402-B8B6-AF22D2C400A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404" name="BC$Y$46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ED15E9E-DDBA-4E1D-8AD2-B9CE8CACF53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402" name="BC$Y$46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83C28B7-9879-4AE4-88D6-F09E8AF730C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400" name="BC$Y$46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EDE2897-7CFE-404F-BB04-A11A18069E9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398" name="BC$Y$46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7EAA5CF-8D62-4755-8A14-F4515603C75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396" name="BC$Y$46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791DC8B-CC12-4F5D-8EB0-5D93B0B7B23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394" name="BC$Y$46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3CE7BED-7D66-4BD6-AA3D-10B3A5A1C82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392" name="BC$Y$46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F12E2B3-1417-43D6-B96B-76CC254915C3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390" name="BC$Y$46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8ED4E34-78A0-401B-8CD8-30A1CB15719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388" name="BC$Y$46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ED1221E-B8F4-4690-943A-33E518DEB73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386" name="BC$Y$46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0F9EAFD-35A7-4121-818C-EE14C0C7877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384" name="BC$Y$46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A9F7B92-4A65-4C75-B0B4-B3B80F5C490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382" name="BC$Y$46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A3C449B-14D5-4687-9A5C-6331BE88E04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380" name="BC$Y$46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219E06E-71C1-4028-9389-BFB93CFD007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378" name="BC$Y$464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289F727-3968-44EA-B292-0942374D697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379" name="BC$Y$464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2838C18-446B-4D0A-B37E-AB1E9B9CDE1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381" name="BC$Y$464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2814E4C-F1C5-440B-B5C8-54B99A60768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383" name="BC$Y$464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2FB8133F-4E7F-40D7-A428-6A96BCFFEFA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385" name="BC$Y$464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3859D77-653A-4BBD-BAA8-8F9D63F71A0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387" name="BC$Y$464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738721E-FE81-40D2-8AE3-E970CA8E461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389" name="BC$Y$464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1A27AF3-C4D9-4C9F-96E2-1EBA38BAF07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391" name="BC$Y$464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DCB86AE-A5A2-4FAC-8243-7A0EC9D9306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393" name="BC$Y$464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BAA374E-47C2-4FA7-8489-3C45BDDD045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395" name="BC$Y$464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235FDD6-1D65-4CFB-9C72-4B886A6D7BC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397" name="BC$Y$464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5898533-2A9D-4F27-A976-4FD01B3179C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399" name="BC$Y$464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5B9B392-FC07-4485-A517-54499B9D977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401" name="BC$Y$464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02EDA21-AEA5-42B8-9DB8-49EF8581235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403" name="BC$Y$464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EBBD52C-8A13-494F-BC9D-57D463E523B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405" name="BC$Y$464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FDD3373-CB36-486B-9D40-568931AC487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407" name="BC$Y$464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7379C5C-329F-4D54-8DF6-3392ABD97A2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409" name="BC$Y$464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4DF6D27-D5BD-41CD-9AE5-01B1992E3907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411" name="BC$Y$464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268BB86-20E4-4D18-A36E-8AE183A8926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413" name="BC$Y$464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01EBC66-CF5B-4F1B-8402-72C4BE5E7C38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415" name="BC$Y$464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2D1651E-E271-492A-BF89-6C50D61C0D63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417" name="BC$Y$464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E044C27-1356-4E9D-BD02-1D6FE929AAD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419" name="BC$Y$464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5F867A5-97C5-467E-B966-666CF83C5D8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421" name="BC$Y$464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FF4138E-FA05-4ED0-A453-CBF03FB70E2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423" name="BC$Y$464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0067C09-B12C-4582-895A-5D057A3CEC77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425" name="BC$Y$464#BR24">
                                      <a:extLst>
                                        <a:ext uri="{FF2B5EF4-FFF2-40B4-BE49-F238E27FC236}">
                                          <a16:creationId xmlns:a16="http://schemas.microsoft.com/office/drawing/2014/main" id="{83EE6612-848C-4CDA-BD48-5B6644F165CC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427" name="BC$Y$464#BR25">
                                    <a:extLst>
                                      <a:ext uri="{FF2B5EF4-FFF2-40B4-BE49-F238E27FC236}">
                                        <a16:creationId xmlns:a16="http://schemas.microsoft.com/office/drawing/2014/main" id="{DC90C4D8-F896-4607-A5E3-355E7B63033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429" name="BC$Y$464#BR26">
                                  <a:extLst>
                                    <a:ext uri="{FF2B5EF4-FFF2-40B4-BE49-F238E27FC236}">
                                      <a16:creationId xmlns:a16="http://schemas.microsoft.com/office/drawing/2014/main" id="{B53BB014-7D73-4B01-BEAC-5BD638DE3DF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431" name="BC$Y$464#BR27">
                                <a:extLst>
                                  <a:ext uri="{FF2B5EF4-FFF2-40B4-BE49-F238E27FC236}">
                                    <a16:creationId xmlns:a16="http://schemas.microsoft.com/office/drawing/2014/main" id="{7A4FD263-CFAE-486C-A976-9B8E85BDBF1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433" name="BC$Y$464#BR28">
                              <a:extLst>
                                <a:ext uri="{FF2B5EF4-FFF2-40B4-BE49-F238E27FC236}">
                                  <a16:creationId xmlns:a16="http://schemas.microsoft.com/office/drawing/2014/main" id="{56318A57-6CE5-4BE4-8EC4-FBA019D706E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435" name="BC$Y$464#BR29">
                            <a:extLst>
                              <a:ext uri="{FF2B5EF4-FFF2-40B4-BE49-F238E27FC236}">
                                <a16:creationId xmlns:a16="http://schemas.microsoft.com/office/drawing/2014/main" id="{8CE6BB25-CFA1-4409-B267-064AE3D5344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437" name="BC$Y$464#BR30">
                          <a:extLst>
                            <a:ext uri="{FF2B5EF4-FFF2-40B4-BE49-F238E27FC236}">
                              <a16:creationId xmlns:a16="http://schemas.microsoft.com/office/drawing/2014/main" id="{463E77E7-C60B-4525-96CD-B2D5BD5A53D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439" name="BC$Y$464#BR31">
                        <a:extLst>
                          <a:ext uri="{FF2B5EF4-FFF2-40B4-BE49-F238E27FC236}">
                            <a16:creationId xmlns:a16="http://schemas.microsoft.com/office/drawing/2014/main" id="{635F2719-C692-4C31-B6F3-51594153CD0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441" name="BC$Y$464#BR32">
                      <a:extLst>
                        <a:ext uri="{FF2B5EF4-FFF2-40B4-BE49-F238E27FC236}">
                          <a16:creationId xmlns:a16="http://schemas.microsoft.com/office/drawing/2014/main" id="{BD1F4C08-9E16-4779-B093-56CC0F0D474D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443" name="BC$Y$464#BR33">
                    <a:extLst>
                      <a:ext uri="{FF2B5EF4-FFF2-40B4-BE49-F238E27FC236}">
                        <a16:creationId xmlns:a16="http://schemas.microsoft.com/office/drawing/2014/main" id="{F81AF283-AE22-47D9-88E6-21A8967FBC7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445" name="BC$Y$464#BR34">
                  <a:extLst>
                    <a:ext uri="{FF2B5EF4-FFF2-40B4-BE49-F238E27FC236}">
                      <a16:creationId xmlns:a16="http://schemas.microsoft.com/office/drawing/2014/main" id="{027DDC44-C846-4058-8F0F-F44F998F16A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447" name="BC$Y$464#BR35">
                <a:extLst>
                  <a:ext uri="{FF2B5EF4-FFF2-40B4-BE49-F238E27FC236}">
                    <a16:creationId xmlns:a16="http://schemas.microsoft.com/office/drawing/2014/main" id="{13321233-52C8-4780-A669-EBF6ECC39D0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449" name="BC$Y$464#BR36">
              <a:extLst>
                <a:ext uri="{FF2B5EF4-FFF2-40B4-BE49-F238E27FC236}">
                  <a16:creationId xmlns:a16="http://schemas.microsoft.com/office/drawing/2014/main" id="{3C49790D-9381-4015-AA75-A874BC79B0F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451" name="BC$Y$464#BR37">
            <a:extLst>
              <a:ext uri="{FF2B5EF4-FFF2-40B4-BE49-F238E27FC236}">
                <a16:creationId xmlns:a16="http://schemas.microsoft.com/office/drawing/2014/main" id="{F26C9038-C8C9-46AB-8609-3FA61C4F908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481</xdr:row>
      <xdr:rowOff>9525</xdr:rowOff>
    </xdr:from>
    <xdr:to>
      <xdr:col>13</xdr:col>
      <xdr:colOff>209550</xdr:colOff>
      <xdr:row>483</xdr:row>
      <xdr:rowOff>9525</xdr:rowOff>
    </xdr:to>
    <xdr:grpSp>
      <xdr:nvGrpSpPr>
        <xdr:cNvPr id="14527" name="BC$K$475#GR">
          <a:extLst>
            <a:ext uri="{FF2B5EF4-FFF2-40B4-BE49-F238E27FC236}">
              <a16:creationId xmlns:a16="http://schemas.microsoft.com/office/drawing/2014/main" id="{571EB064-4495-4D9D-A3ED-F931449224FF}"/>
            </a:ext>
          </a:extLst>
        </xdr:cNvPr>
        <xdr:cNvGrpSpPr/>
      </xdr:nvGrpSpPr>
      <xdr:grpSpPr>
        <a:xfrm>
          <a:off x="2676525" y="91544775"/>
          <a:ext cx="381000" cy="381000"/>
          <a:chOff x="0" y="0"/>
          <a:chExt cx="381000" cy="381000"/>
        </a:xfrm>
      </xdr:grpSpPr>
      <xdr:grpSp>
        <xdr:nvGrpSpPr>
          <xdr:cNvPr id="14525" name="BC$K$475#GR">
            <a:extLst>
              <a:ext uri="{FF2B5EF4-FFF2-40B4-BE49-F238E27FC236}">
                <a16:creationId xmlns:a16="http://schemas.microsoft.com/office/drawing/2014/main" id="{FB597A41-3AAE-403E-989E-692550B849C7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523" name="BC$K$475#GR">
              <a:extLst>
                <a:ext uri="{FF2B5EF4-FFF2-40B4-BE49-F238E27FC236}">
                  <a16:creationId xmlns:a16="http://schemas.microsoft.com/office/drawing/2014/main" id="{E89B3D55-E22A-47F7-9B93-0EEF1018E93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521" name="BC$K$475#GR">
                <a:extLst>
                  <a:ext uri="{FF2B5EF4-FFF2-40B4-BE49-F238E27FC236}">
                    <a16:creationId xmlns:a16="http://schemas.microsoft.com/office/drawing/2014/main" id="{5E8C2477-543A-4969-897E-5FF3422B606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519" name="BC$K$475#GR">
                  <a:extLst>
                    <a:ext uri="{FF2B5EF4-FFF2-40B4-BE49-F238E27FC236}">
                      <a16:creationId xmlns:a16="http://schemas.microsoft.com/office/drawing/2014/main" id="{07E82210-80DD-4E54-B5F9-17F5D1186394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517" name="BC$K$475#GR">
                    <a:extLst>
                      <a:ext uri="{FF2B5EF4-FFF2-40B4-BE49-F238E27FC236}">
                        <a16:creationId xmlns:a16="http://schemas.microsoft.com/office/drawing/2014/main" id="{98B2EB1E-8ABF-418E-8999-50C66772F07C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515" name="BC$K$475#GR">
                      <a:extLst>
                        <a:ext uri="{FF2B5EF4-FFF2-40B4-BE49-F238E27FC236}">
                          <a16:creationId xmlns:a16="http://schemas.microsoft.com/office/drawing/2014/main" id="{B48F82CD-6654-4824-A87E-321E35015D2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513" name="BC$K$475#GR">
                        <a:extLst>
                          <a:ext uri="{FF2B5EF4-FFF2-40B4-BE49-F238E27FC236}">
                            <a16:creationId xmlns:a16="http://schemas.microsoft.com/office/drawing/2014/main" id="{B3B0C348-EBB0-4E22-8D6E-38B6581D7BD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511" name="BC$K$475#GR">
                          <a:extLst>
                            <a:ext uri="{FF2B5EF4-FFF2-40B4-BE49-F238E27FC236}">
                              <a16:creationId xmlns:a16="http://schemas.microsoft.com/office/drawing/2014/main" id="{29F72399-D141-450B-A6B7-A0DB0E471E5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509" name="BC$K$475#GR">
                            <a:extLst>
                              <a:ext uri="{FF2B5EF4-FFF2-40B4-BE49-F238E27FC236}">
                                <a16:creationId xmlns:a16="http://schemas.microsoft.com/office/drawing/2014/main" id="{84819F3B-3CC4-4737-A8A2-375115ACBBA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507" name="BC$K$475#GR">
                              <a:extLst>
                                <a:ext uri="{FF2B5EF4-FFF2-40B4-BE49-F238E27FC236}">
                                  <a16:creationId xmlns:a16="http://schemas.microsoft.com/office/drawing/2014/main" id="{8E9C714C-2C64-4BA7-B180-C35E170181BF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505" name="BC$K$475#GR">
                                <a:extLst>
                                  <a:ext uri="{FF2B5EF4-FFF2-40B4-BE49-F238E27FC236}">
                                    <a16:creationId xmlns:a16="http://schemas.microsoft.com/office/drawing/2014/main" id="{87C1DC8B-A7B4-490C-89BC-F63B1F5FB0DD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503" name="BC$K$475#GR">
                                  <a:extLst>
                                    <a:ext uri="{FF2B5EF4-FFF2-40B4-BE49-F238E27FC236}">
                                      <a16:creationId xmlns:a16="http://schemas.microsoft.com/office/drawing/2014/main" id="{01FC2464-2BBE-424C-AA04-F42D2B16318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501" name="BC$K$475#GR">
                                    <a:extLst>
                                      <a:ext uri="{FF2B5EF4-FFF2-40B4-BE49-F238E27FC236}">
                                        <a16:creationId xmlns:a16="http://schemas.microsoft.com/office/drawing/2014/main" id="{5F154D27-7143-496C-9332-F59D4E1203E3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499" name="BC$K$475#GR">
                                      <a:extLst>
                                        <a:ext uri="{FF2B5EF4-FFF2-40B4-BE49-F238E27FC236}">
                                          <a16:creationId xmlns:a16="http://schemas.microsoft.com/office/drawing/2014/main" id="{27791ED3-7B4F-4C9E-B340-4530832FD84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497" name="BC$K$47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C949E16-2CC9-4DDD-8F63-ABEAE661292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495" name="BC$K$47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0DF086E-7AC5-4087-B97C-610DAB0CB65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493" name="BC$K$47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52E2B13-C660-4B4C-85AE-59F09A164417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491" name="BC$K$47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10C659C-615B-4989-B7D0-4525FAFD2E7C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489" name="BC$K$47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43EECC5-3670-4451-8E65-2CDAF776CFE1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487" name="BC$K$47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E8E333B-0E85-438A-9AA0-8765705D9D39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485" name="BC$K$47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3C77E3E-C3D4-4A70-80EF-F24EBA14E27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483" name="BC$K$47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F8EAD34-D487-40F5-8A62-9C88339C581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481" name="BC$K$47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5D060AB-5159-4C10-A8D1-B3D32238E052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479" name="BC$K$47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A1CCFE3-0634-4029-91AE-D5D0F56486FB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477" name="BC$K$47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571C4FF-FEED-4CAA-9E28-F47CBB9AAB0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475" name="BC$K$47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9C6BCCC-73E1-40FF-9262-12A75788B4A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473" name="BC$K$47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E8DCECF-4AF3-46BB-B2E7-FC578E8221E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471" name="BC$K$47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882BCD5-DA5B-454D-B759-A12730733F6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469" name="BC$K$47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C5FFE85-2F54-48FA-B566-4710B941D6F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467" name="BC$K$47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84C8907-765E-448E-8B45-6D6809D664D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465" name="BC$K$47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7785015-5F17-4521-827B-2CCE01B94C0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463" name="BC$K$47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2523409-ED1B-48D5-94F5-543CA558845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461" name="BC$K$47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ADABBA0-9D6A-4922-B542-A83224D5FCE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459" name="BC$K$47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EDFEEE9-8E6D-4C7E-A2F6-44B77CDA0CA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457" name="BC$K$47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FF26C602-247B-4A62-B798-7102E9E96D3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455" name="BC$K$47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62B2DE8-14B8-412D-88EE-441703A34C7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453" name="BC$K$475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5C44AF9-6CF4-498D-8E85-F33B449F774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454" name="BC$K$475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92B44E9-D7B2-41DD-9608-4A207F53563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456" name="BC$K$475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8B27DCF-6421-4869-9592-D54BE355141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458" name="BC$K$475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C71A96E-DD2A-4E89-9036-67B45FF7989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460" name="BC$K$475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479CA44-056B-44EF-A074-064CC6A329A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462" name="BC$K$475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3C08E47-54AA-48A9-A40F-2D61F892A95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464" name="BC$K$475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334476A-8333-49F4-A8B9-31D5A4655F9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466" name="BC$K$475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D335D00-07AF-4575-94C3-52B944ACA9E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468" name="BC$K$475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0A90A92-BDC7-45C5-B792-863641382DC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470" name="BC$K$475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7C7B37A-9991-4A81-964E-93CE93A16B3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472" name="BC$K$475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AFE3941-D40E-439A-8324-ABC1620940B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474" name="BC$K$475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354DE76-36CC-4DC7-B904-13DC423C143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476" name="BC$K$475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E26BA0C5-AC7E-4910-A510-8EA88116195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478" name="BC$K$475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74576F2-7A79-4129-BDEE-8245D772957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480" name="BC$K$475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BDA2C6E-A503-4B47-934F-A81360CCE58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482" name="BC$K$475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6AAA8DC-0E28-4B87-A098-6282C85D954A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484" name="BC$K$475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F674DD5-65B4-4228-B1CF-74E34C85561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486" name="BC$K$475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2E32483-5D1A-469D-914A-62F368B3C775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488" name="BC$K$475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29D8445-E0FC-48B6-8BF3-EECB68BD827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490" name="BC$K$475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475A38F-0173-4787-8FD2-3E3D00D0D85F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492" name="BC$K$475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B3EDC284-193C-4D4F-90A9-E26ED50AB096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494" name="BC$K$475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BB1F215-9959-478B-9449-EC5302E0912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496" name="BC$K$475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75C0068-4133-444E-B99C-6FA0C0FBA1D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498" name="BC$K$475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CE9E772-EE77-47C3-9A25-DCEB130E0B9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500" name="BC$K$475#BR24">
                                      <a:extLst>
                                        <a:ext uri="{FF2B5EF4-FFF2-40B4-BE49-F238E27FC236}">
                                          <a16:creationId xmlns:a16="http://schemas.microsoft.com/office/drawing/2014/main" id="{5198D9F1-1F00-478E-A35D-2AAEE10BB3D6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502" name="BC$K$475#BR25">
                                    <a:extLst>
                                      <a:ext uri="{FF2B5EF4-FFF2-40B4-BE49-F238E27FC236}">
                                        <a16:creationId xmlns:a16="http://schemas.microsoft.com/office/drawing/2014/main" id="{A610E885-3428-4620-B81C-976A9C2F78C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504" name="BC$K$475#BR26">
                                  <a:extLst>
                                    <a:ext uri="{FF2B5EF4-FFF2-40B4-BE49-F238E27FC236}">
                                      <a16:creationId xmlns:a16="http://schemas.microsoft.com/office/drawing/2014/main" id="{80B52EDE-1842-4267-B972-DEB2C8388C7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506" name="BC$K$475#BR27">
                                <a:extLst>
                                  <a:ext uri="{FF2B5EF4-FFF2-40B4-BE49-F238E27FC236}">
                                    <a16:creationId xmlns:a16="http://schemas.microsoft.com/office/drawing/2014/main" id="{E3EE0A85-F1C9-499C-AA47-59F7ECE6D5E8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508" name="BC$K$475#BR28">
                              <a:extLst>
                                <a:ext uri="{FF2B5EF4-FFF2-40B4-BE49-F238E27FC236}">
                                  <a16:creationId xmlns:a16="http://schemas.microsoft.com/office/drawing/2014/main" id="{138CD09B-EE37-4A86-9235-3120DB3A7BB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510" name="BC$K$475#BR29">
                            <a:extLst>
                              <a:ext uri="{FF2B5EF4-FFF2-40B4-BE49-F238E27FC236}">
                                <a16:creationId xmlns:a16="http://schemas.microsoft.com/office/drawing/2014/main" id="{1E550879-3663-4142-844F-1CDA29CFF07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512" name="BC$K$475#BR30">
                          <a:extLst>
                            <a:ext uri="{FF2B5EF4-FFF2-40B4-BE49-F238E27FC236}">
                              <a16:creationId xmlns:a16="http://schemas.microsoft.com/office/drawing/2014/main" id="{82182B71-E329-4D2A-98DF-76A33E2CBA4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514" name="BC$K$475#BR31">
                        <a:extLst>
                          <a:ext uri="{FF2B5EF4-FFF2-40B4-BE49-F238E27FC236}">
                            <a16:creationId xmlns:a16="http://schemas.microsoft.com/office/drawing/2014/main" id="{D87A87BC-783B-4192-8359-A15F27AA2CB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516" name="BC$K$475#BR32">
                      <a:extLst>
                        <a:ext uri="{FF2B5EF4-FFF2-40B4-BE49-F238E27FC236}">
                          <a16:creationId xmlns:a16="http://schemas.microsoft.com/office/drawing/2014/main" id="{12F6C278-B13E-4508-8B02-2EF3620EA9E1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518" name="BC$K$475#BR33">
                    <a:extLst>
                      <a:ext uri="{FF2B5EF4-FFF2-40B4-BE49-F238E27FC236}">
                        <a16:creationId xmlns:a16="http://schemas.microsoft.com/office/drawing/2014/main" id="{72223293-9812-429A-9DAC-B8193EA0779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520" name="BC$K$475#BR34">
                  <a:extLst>
                    <a:ext uri="{FF2B5EF4-FFF2-40B4-BE49-F238E27FC236}">
                      <a16:creationId xmlns:a16="http://schemas.microsoft.com/office/drawing/2014/main" id="{863C2291-FC0D-49D4-9D8B-BC68D8F07C0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522" name="BC$K$475#BR35">
                <a:extLst>
                  <a:ext uri="{FF2B5EF4-FFF2-40B4-BE49-F238E27FC236}">
                    <a16:creationId xmlns:a16="http://schemas.microsoft.com/office/drawing/2014/main" id="{33AF786A-34C9-435E-9F64-57CB37D08B3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524" name="BC$K$475#BR36">
              <a:extLst>
                <a:ext uri="{FF2B5EF4-FFF2-40B4-BE49-F238E27FC236}">
                  <a16:creationId xmlns:a16="http://schemas.microsoft.com/office/drawing/2014/main" id="{9250A186-F6ED-442C-85C2-77AF024849F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526" name="BC$K$475#BR37">
            <a:extLst>
              <a:ext uri="{FF2B5EF4-FFF2-40B4-BE49-F238E27FC236}">
                <a16:creationId xmlns:a16="http://schemas.microsoft.com/office/drawing/2014/main" id="{B44CFB7B-6A0C-4730-B8B4-EA577494D385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481</xdr:row>
      <xdr:rowOff>0</xdr:rowOff>
    </xdr:from>
    <xdr:to>
      <xdr:col>27</xdr:col>
      <xdr:colOff>209550</xdr:colOff>
      <xdr:row>483</xdr:row>
      <xdr:rowOff>0</xdr:rowOff>
    </xdr:to>
    <xdr:grpSp>
      <xdr:nvGrpSpPr>
        <xdr:cNvPr id="14602" name="BC$Y$475#GR">
          <a:extLst>
            <a:ext uri="{FF2B5EF4-FFF2-40B4-BE49-F238E27FC236}">
              <a16:creationId xmlns:a16="http://schemas.microsoft.com/office/drawing/2014/main" id="{B5FD2532-A16F-492C-8746-167117BD981F}"/>
            </a:ext>
          </a:extLst>
        </xdr:cNvPr>
        <xdr:cNvGrpSpPr/>
      </xdr:nvGrpSpPr>
      <xdr:grpSpPr>
        <a:xfrm>
          <a:off x="5791200" y="91535250"/>
          <a:ext cx="381000" cy="381000"/>
          <a:chOff x="0" y="0"/>
          <a:chExt cx="381000" cy="381000"/>
        </a:xfrm>
      </xdr:grpSpPr>
      <xdr:grpSp>
        <xdr:nvGrpSpPr>
          <xdr:cNvPr id="14600" name="BC$Y$475#GR">
            <a:extLst>
              <a:ext uri="{FF2B5EF4-FFF2-40B4-BE49-F238E27FC236}">
                <a16:creationId xmlns:a16="http://schemas.microsoft.com/office/drawing/2014/main" id="{787E036B-E51E-461C-A4B5-44CC04B1E3EF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598" name="BC$Y$475#GR">
              <a:extLst>
                <a:ext uri="{FF2B5EF4-FFF2-40B4-BE49-F238E27FC236}">
                  <a16:creationId xmlns:a16="http://schemas.microsoft.com/office/drawing/2014/main" id="{5EAB68E3-AE8C-4393-B3D1-93F3E3F74ED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596" name="BC$Y$475#GR">
                <a:extLst>
                  <a:ext uri="{FF2B5EF4-FFF2-40B4-BE49-F238E27FC236}">
                    <a16:creationId xmlns:a16="http://schemas.microsoft.com/office/drawing/2014/main" id="{5AD809D0-F880-4FA0-9EDD-9F658004653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594" name="BC$Y$475#GR">
                  <a:extLst>
                    <a:ext uri="{FF2B5EF4-FFF2-40B4-BE49-F238E27FC236}">
                      <a16:creationId xmlns:a16="http://schemas.microsoft.com/office/drawing/2014/main" id="{FA751FC6-37CA-4CB1-B1BC-AA927F1EAB3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592" name="BC$Y$475#GR">
                    <a:extLst>
                      <a:ext uri="{FF2B5EF4-FFF2-40B4-BE49-F238E27FC236}">
                        <a16:creationId xmlns:a16="http://schemas.microsoft.com/office/drawing/2014/main" id="{FB1C1604-89EB-4AF2-AD0C-602D0181C21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590" name="BC$Y$475#GR">
                      <a:extLst>
                        <a:ext uri="{FF2B5EF4-FFF2-40B4-BE49-F238E27FC236}">
                          <a16:creationId xmlns:a16="http://schemas.microsoft.com/office/drawing/2014/main" id="{D40CCF5E-E1AA-4391-A3BE-E434BE096A0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588" name="BC$Y$475#GR">
                        <a:extLst>
                          <a:ext uri="{FF2B5EF4-FFF2-40B4-BE49-F238E27FC236}">
                            <a16:creationId xmlns:a16="http://schemas.microsoft.com/office/drawing/2014/main" id="{10236103-F766-4105-910A-3A9B66E42B0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586" name="BC$Y$475#GR">
                          <a:extLst>
                            <a:ext uri="{FF2B5EF4-FFF2-40B4-BE49-F238E27FC236}">
                              <a16:creationId xmlns:a16="http://schemas.microsoft.com/office/drawing/2014/main" id="{D3A4DF27-2806-4F6F-A808-3A695827E50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584" name="BC$Y$475#GR">
                            <a:extLst>
                              <a:ext uri="{FF2B5EF4-FFF2-40B4-BE49-F238E27FC236}">
                                <a16:creationId xmlns:a16="http://schemas.microsoft.com/office/drawing/2014/main" id="{BA25117F-D546-430B-95DB-5FF407547B7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582" name="BC$Y$475#GR">
                              <a:extLst>
                                <a:ext uri="{FF2B5EF4-FFF2-40B4-BE49-F238E27FC236}">
                                  <a16:creationId xmlns:a16="http://schemas.microsoft.com/office/drawing/2014/main" id="{8C0F233E-A72E-4EC0-9940-606C02A69FC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580" name="BC$Y$475#GR">
                                <a:extLst>
                                  <a:ext uri="{FF2B5EF4-FFF2-40B4-BE49-F238E27FC236}">
                                    <a16:creationId xmlns:a16="http://schemas.microsoft.com/office/drawing/2014/main" id="{B247A265-3788-4009-800D-A0E50525DB7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578" name="BC$Y$475#GR">
                                  <a:extLst>
                                    <a:ext uri="{FF2B5EF4-FFF2-40B4-BE49-F238E27FC236}">
                                      <a16:creationId xmlns:a16="http://schemas.microsoft.com/office/drawing/2014/main" id="{6BC4A941-1D71-4B5F-B349-2F5D66E5135C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576" name="BC$Y$475#GR">
                                    <a:extLst>
                                      <a:ext uri="{FF2B5EF4-FFF2-40B4-BE49-F238E27FC236}">
                                        <a16:creationId xmlns:a16="http://schemas.microsoft.com/office/drawing/2014/main" id="{C37F35CF-A29D-457A-BF68-8DE4AD3577D6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574" name="BC$Y$475#GR">
                                      <a:extLst>
                                        <a:ext uri="{FF2B5EF4-FFF2-40B4-BE49-F238E27FC236}">
                                          <a16:creationId xmlns:a16="http://schemas.microsoft.com/office/drawing/2014/main" id="{38130B2E-4374-4BB2-A2A5-BCB78955469B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572" name="BC$Y$47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761C9FF-06D7-4F9B-BD63-2714816F965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570" name="BC$Y$47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BCC0D55C-D889-4E59-8F32-B2B7E425650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568" name="BC$Y$47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59AC066-0B26-4C35-BD67-4B8522AD5F71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66" name="BC$Y$47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B863C34-6A38-4915-808C-88452FF9985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564" name="BC$Y$47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A36CEC8A-4ED8-4210-ABD8-43FB189E2D0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562" name="BC$Y$47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3AAB5D9-56C3-48A5-AE41-C35F3B71A1A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560" name="BC$Y$47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7F6535B-E2C0-43B6-93E8-D73B7F346A08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558" name="BC$Y$47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48C8DCE6-A602-43AB-ACCB-75F2B37B02B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556" name="BC$Y$47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FC1A441-AF88-47A0-AEB6-6E8B62B2D4F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554" name="BC$Y$47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5140FF6-9490-4A00-933B-FAEC426C1DC1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552" name="BC$Y$47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58FA693-3505-4B8C-A43D-13D035E28A1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550" name="BC$Y$47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E5DE047-267E-4ED6-8742-5D2727E3F79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548" name="BC$Y$47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0A93516-E656-457B-AD67-5179160CA81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546" name="BC$Y$47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BC08C51-AFDF-4DBB-B856-6D5F434EDE7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544" name="BC$Y$47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661DC9C-ABD6-45E7-9AF4-C055E8A7881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542" name="BC$Y$47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E3B4811-CFD3-4267-9BC9-567ED712D7E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540" name="BC$Y$47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D8FBA6B-7921-4F4B-B84D-E6AE340DAC8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538" name="BC$Y$47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791951F-A4E6-4039-BDF7-682D61839F9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536" name="BC$Y$47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7E10131-3454-48DC-9190-ADE8A2065D6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534" name="BC$Y$47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82C989F-4069-41B6-AF7C-651BF25CD90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532" name="BC$Y$47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662165B3-5DF3-41B4-816F-EB02C39EEA3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530" name="BC$Y$47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CDD9DD8-A274-4EFF-9AEC-3985E87EEC2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528" name="BC$Y$475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8309CA85-AA4E-4B81-A29C-BD139EA6B7A5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529" name="BC$Y$475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40D4990-8946-4523-B80C-8A868E6D4C3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531" name="BC$Y$475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73B653F-E6F5-428C-A956-496D1CC8F2C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533" name="BC$Y$475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CBAB792A-B8AE-45F9-B61A-E71EC263243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535" name="BC$Y$475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30E5726-B472-47A8-A28B-3DAA46C9F9E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537" name="BC$Y$475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8046521-11EF-4397-B52C-5E8D7FA58B97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539" name="BC$Y$475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0137F29-B5B2-4285-A6E9-9F990B49E062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541" name="BC$Y$475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4AB209E-DDA2-4E92-9987-FF10BA552E9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543" name="BC$Y$475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FB51581-F791-4F9D-9F60-CAD762D26F5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545" name="BC$Y$475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FDF5A0B-5B68-4DC2-9F20-A6D84FC5796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547" name="BC$Y$475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8058B51-C933-4C32-966A-9AF84EF7BC8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549" name="BC$Y$475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F610F16-B94D-423D-8C6B-AB8D92F4DB7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551" name="BC$Y$475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22BEDBA-6B18-478E-938C-E06BBCE60FB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553" name="BC$Y$475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4153DDB-2845-448E-816C-DE50E544D7B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555" name="BC$Y$475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A8BF6F1-D6B4-45B7-BE7A-FB313FDE2671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557" name="BC$Y$475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D34B982-5CEB-43A4-8D54-BDC7ADA5AB43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559" name="BC$Y$475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A73976F-6689-43DD-A71D-84328BE3BEF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561" name="BC$Y$475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FF95DB5-59DC-4617-BD51-75462B830977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563" name="BC$Y$475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6294971-4682-40DC-BE41-3E5FCC7C45A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565" name="BC$Y$475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54FD114-0289-4258-938F-8695C9B48317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567" name="BC$Y$475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6625DA6-4DAC-4871-9C8F-1C5C0647ABF6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569" name="BC$Y$475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77143BE-4B86-47A4-8584-8EF98D1320B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571" name="BC$Y$475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70970B9-E19A-48DD-AA65-006879FA6E06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573" name="BC$Y$475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B4B2736-B374-471C-B285-7285E09AE785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575" name="BC$Y$475#BR24">
                                      <a:extLst>
                                        <a:ext uri="{FF2B5EF4-FFF2-40B4-BE49-F238E27FC236}">
                                          <a16:creationId xmlns:a16="http://schemas.microsoft.com/office/drawing/2014/main" id="{BECDBE0D-1713-4AA3-96FE-41725085DB9C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577" name="BC$Y$475#BR25">
                                    <a:extLst>
                                      <a:ext uri="{FF2B5EF4-FFF2-40B4-BE49-F238E27FC236}">
                                        <a16:creationId xmlns:a16="http://schemas.microsoft.com/office/drawing/2014/main" id="{D0D79C9A-BB88-418D-8FBE-6CB3A94B4CF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579" name="BC$Y$475#BR26">
                                  <a:extLst>
                                    <a:ext uri="{FF2B5EF4-FFF2-40B4-BE49-F238E27FC236}">
                                      <a16:creationId xmlns:a16="http://schemas.microsoft.com/office/drawing/2014/main" id="{43669870-E108-4FCE-8FFF-FA719FA8C209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581" name="BC$Y$475#BR27">
                                <a:extLst>
                                  <a:ext uri="{FF2B5EF4-FFF2-40B4-BE49-F238E27FC236}">
                                    <a16:creationId xmlns:a16="http://schemas.microsoft.com/office/drawing/2014/main" id="{1BBD7E37-C344-4383-B704-0D0B0D96EFC2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583" name="BC$Y$475#BR28">
                              <a:extLst>
                                <a:ext uri="{FF2B5EF4-FFF2-40B4-BE49-F238E27FC236}">
                                  <a16:creationId xmlns:a16="http://schemas.microsoft.com/office/drawing/2014/main" id="{005DC8BF-8A9C-49A6-8D6B-D42CA4183DF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585" name="BC$Y$475#BR29">
                            <a:extLst>
                              <a:ext uri="{FF2B5EF4-FFF2-40B4-BE49-F238E27FC236}">
                                <a16:creationId xmlns:a16="http://schemas.microsoft.com/office/drawing/2014/main" id="{7D8477B1-D947-49E1-8052-BDBFA8BE1E3A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587" name="BC$Y$475#BR30">
                          <a:extLst>
                            <a:ext uri="{FF2B5EF4-FFF2-40B4-BE49-F238E27FC236}">
                              <a16:creationId xmlns:a16="http://schemas.microsoft.com/office/drawing/2014/main" id="{D64653E3-3321-47EF-9889-C805B33597B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589" name="BC$Y$475#BR31">
                        <a:extLst>
                          <a:ext uri="{FF2B5EF4-FFF2-40B4-BE49-F238E27FC236}">
                            <a16:creationId xmlns:a16="http://schemas.microsoft.com/office/drawing/2014/main" id="{D549D3D3-D5FF-4272-BEFF-0FD3EC41AEF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591" name="BC$Y$475#BR32">
                      <a:extLst>
                        <a:ext uri="{FF2B5EF4-FFF2-40B4-BE49-F238E27FC236}">
                          <a16:creationId xmlns:a16="http://schemas.microsoft.com/office/drawing/2014/main" id="{2D04761D-392E-469D-B5F6-07EC1A02ED4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593" name="BC$Y$475#BR33">
                    <a:extLst>
                      <a:ext uri="{FF2B5EF4-FFF2-40B4-BE49-F238E27FC236}">
                        <a16:creationId xmlns:a16="http://schemas.microsoft.com/office/drawing/2014/main" id="{412FACE6-E3B1-4494-A948-94763215B5DF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595" name="BC$Y$475#BR34">
                  <a:extLst>
                    <a:ext uri="{FF2B5EF4-FFF2-40B4-BE49-F238E27FC236}">
                      <a16:creationId xmlns:a16="http://schemas.microsoft.com/office/drawing/2014/main" id="{5897C4B4-55FB-4CE4-A6F5-79BD61A95D44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597" name="BC$Y$475#BR35">
                <a:extLst>
                  <a:ext uri="{FF2B5EF4-FFF2-40B4-BE49-F238E27FC236}">
                    <a16:creationId xmlns:a16="http://schemas.microsoft.com/office/drawing/2014/main" id="{7E783F53-41A3-4009-830E-9496BE076E5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599" name="BC$Y$475#BR36">
              <a:extLst>
                <a:ext uri="{FF2B5EF4-FFF2-40B4-BE49-F238E27FC236}">
                  <a16:creationId xmlns:a16="http://schemas.microsoft.com/office/drawing/2014/main" id="{10A534AA-B4DB-4ED5-AC04-890988AC6C7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601" name="BC$Y$475#BR37">
            <a:extLst>
              <a:ext uri="{FF2B5EF4-FFF2-40B4-BE49-F238E27FC236}">
                <a16:creationId xmlns:a16="http://schemas.microsoft.com/office/drawing/2014/main" id="{A36EB72A-F8F7-4BC9-B611-2841D6DFC491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492</xdr:row>
      <xdr:rowOff>0</xdr:rowOff>
    </xdr:from>
    <xdr:to>
      <xdr:col>13</xdr:col>
      <xdr:colOff>200025</xdr:colOff>
      <xdr:row>494</xdr:row>
      <xdr:rowOff>0</xdr:rowOff>
    </xdr:to>
    <xdr:grpSp>
      <xdr:nvGrpSpPr>
        <xdr:cNvPr id="14677" name="BC$K$486#GR">
          <a:extLst>
            <a:ext uri="{FF2B5EF4-FFF2-40B4-BE49-F238E27FC236}">
              <a16:creationId xmlns:a16="http://schemas.microsoft.com/office/drawing/2014/main" id="{98753F89-733B-43DF-B23D-B7695321A470}"/>
            </a:ext>
          </a:extLst>
        </xdr:cNvPr>
        <xdr:cNvGrpSpPr/>
      </xdr:nvGrpSpPr>
      <xdr:grpSpPr>
        <a:xfrm>
          <a:off x="2667000" y="93630750"/>
          <a:ext cx="381000" cy="381000"/>
          <a:chOff x="0" y="0"/>
          <a:chExt cx="381000" cy="381000"/>
        </a:xfrm>
      </xdr:grpSpPr>
      <xdr:grpSp>
        <xdr:nvGrpSpPr>
          <xdr:cNvPr id="14675" name="BC$K$486#GR">
            <a:extLst>
              <a:ext uri="{FF2B5EF4-FFF2-40B4-BE49-F238E27FC236}">
                <a16:creationId xmlns:a16="http://schemas.microsoft.com/office/drawing/2014/main" id="{A6A8C78F-1D36-42CB-97F1-9053AEAC2C5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673" name="BC$K$486#GR">
              <a:extLst>
                <a:ext uri="{FF2B5EF4-FFF2-40B4-BE49-F238E27FC236}">
                  <a16:creationId xmlns:a16="http://schemas.microsoft.com/office/drawing/2014/main" id="{967798E4-9A86-462E-983E-E2E675B360C6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671" name="BC$K$486#GR">
                <a:extLst>
                  <a:ext uri="{FF2B5EF4-FFF2-40B4-BE49-F238E27FC236}">
                    <a16:creationId xmlns:a16="http://schemas.microsoft.com/office/drawing/2014/main" id="{41C4D892-AAD1-4793-BADB-03FF53BE9F1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669" name="BC$K$486#GR">
                  <a:extLst>
                    <a:ext uri="{FF2B5EF4-FFF2-40B4-BE49-F238E27FC236}">
                      <a16:creationId xmlns:a16="http://schemas.microsoft.com/office/drawing/2014/main" id="{4B52CC8D-B226-4D54-9B6B-68EE2385DF9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667" name="BC$K$486#GR">
                    <a:extLst>
                      <a:ext uri="{FF2B5EF4-FFF2-40B4-BE49-F238E27FC236}">
                        <a16:creationId xmlns:a16="http://schemas.microsoft.com/office/drawing/2014/main" id="{7D959A2A-EF25-467E-B82D-EB1502500D8D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665" name="BC$K$486#GR">
                      <a:extLst>
                        <a:ext uri="{FF2B5EF4-FFF2-40B4-BE49-F238E27FC236}">
                          <a16:creationId xmlns:a16="http://schemas.microsoft.com/office/drawing/2014/main" id="{46EB25F9-494C-4126-836C-497FE0BACED6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663" name="BC$K$486#GR">
                        <a:extLst>
                          <a:ext uri="{FF2B5EF4-FFF2-40B4-BE49-F238E27FC236}">
                            <a16:creationId xmlns:a16="http://schemas.microsoft.com/office/drawing/2014/main" id="{CE671B03-AC9B-4863-BAA0-E734C947ECF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661" name="BC$K$486#GR">
                          <a:extLst>
                            <a:ext uri="{FF2B5EF4-FFF2-40B4-BE49-F238E27FC236}">
                              <a16:creationId xmlns:a16="http://schemas.microsoft.com/office/drawing/2014/main" id="{F8C5F294-DEE7-4D35-B513-2C8AC0B54C58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659" name="BC$K$486#GR">
                            <a:extLst>
                              <a:ext uri="{FF2B5EF4-FFF2-40B4-BE49-F238E27FC236}">
                                <a16:creationId xmlns:a16="http://schemas.microsoft.com/office/drawing/2014/main" id="{D14308A7-F9AD-486B-A774-74FF60DE414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657" name="BC$K$486#GR">
                              <a:extLst>
                                <a:ext uri="{FF2B5EF4-FFF2-40B4-BE49-F238E27FC236}">
                                  <a16:creationId xmlns:a16="http://schemas.microsoft.com/office/drawing/2014/main" id="{1852903E-CA20-4E79-B21D-AFF45CFFB01B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655" name="BC$K$486#GR">
                                <a:extLst>
                                  <a:ext uri="{FF2B5EF4-FFF2-40B4-BE49-F238E27FC236}">
                                    <a16:creationId xmlns:a16="http://schemas.microsoft.com/office/drawing/2014/main" id="{0D0F1EEB-C9FC-4D81-973C-A0B192534FE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653" name="BC$K$486#GR">
                                  <a:extLst>
                                    <a:ext uri="{FF2B5EF4-FFF2-40B4-BE49-F238E27FC236}">
                                      <a16:creationId xmlns:a16="http://schemas.microsoft.com/office/drawing/2014/main" id="{EBA2D1C2-F4FA-46E8-9769-1CE72DFCB6F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651" name="BC$K$486#GR">
                                    <a:extLst>
                                      <a:ext uri="{FF2B5EF4-FFF2-40B4-BE49-F238E27FC236}">
                                        <a16:creationId xmlns:a16="http://schemas.microsoft.com/office/drawing/2014/main" id="{A5410B22-7EBF-4ED2-BF6C-7B1E93E3DC0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649" name="BC$K$486#GR">
                                      <a:extLst>
                                        <a:ext uri="{FF2B5EF4-FFF2-40B4-BE49-F238E27FC236}">
                                          <a16:creationId xmlns:a16="http://schemas.microsoft.com/office/drawing/2014/main" id="{9D6924DA-C718-4789-8133-4F16CFB996D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647" name="BC$K$48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5F6A188-3050-4697-8EC1-A0B0B95FD3D4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645" name="BC$K$48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8F146499-19E5-4512-B007-A7845258F188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643" name="BC$K$48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19CB4D2-0AE4-4D08-A8B5-799188C1F454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641" name="BC$K$48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653BE4F-72F5-498A-BBFE-E526763DA853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639" name="BC$K$48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851FFD5-129D-4416-985A-D91A2CE83F1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637" name="BC$K$48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526839E-8B97-49C0-812B-4284CFEB4B5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635" name="BC$K$48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E977B03-3595-480B-BA7C-461D5A194C0A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633" name="BC$K$48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8E1F327-44BC-4D2C-82B6-CB3F485F25C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631" name="BC$K$48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0A1D6D9-BBB3-4DBE-9F4C-6DE3A130C5C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629" name="BC$K$48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D133906-88D4-4F63-9A6B-D170BAFD10A1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627" name="BC$K$48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79B7793-563D-4818-AB7C-F307412B164F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625" name="BC$K$48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A7A1E74-1DA8-47D2-89CD-53E136B8DBE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623" name="BC$K$48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A1805B6-0B25-4E36-A89A-CC991178A8A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621" name="BC$K$48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5685282-91EF-4569-BA71-E2D3172AF86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619" name="BC$K$48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F54348E-2AF4-444E-BEAE-922FBED4919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617" name="BC$K$48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FC374E8-B981-42A9-A825-8E2B23EC0CB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615" name="BC$K$48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0E59EF7-8266-42C1-A4C1-44251E78FFE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613" name="BC$K$48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E2EDF31-B928-4E31-8952-B3676C8076A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611" name="BC$K$48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769315C-DED7-4817-BA43-46C5AA1120C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609" name="BC$K$48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455BA87-3A3D-4B14-8EEA-B874BF12C1E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607" name="BC$K$48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2FB02AC-85DC-448C-A034-F5A684BEFF3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605" name="BC$K$48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3AF3604-14F5-4F1E-9474-8B33E9640CE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603" name="BC$K$486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A865A3D-2289-4A6B-AC85-F992B78FE62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604" name="BC$K$486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A28F3F5-8C94-4551-AB7E-866B01C647B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606" name="BC$K$486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63D09AF-9133-4CFC-A5C0-8E81B58D563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608" name="BC$K$486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34E54DC-2F2F-4103-B210-B23D9201674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610" name="BC$K$486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334E7B3-AC6B-401F-8DFC-AEDA0794034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612" name="BC$K$486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6FB9ECC-9B47-4D17-BC57-981EA3C8742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614" name="BC$K$486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E14E853-CAC7-423F-B75D-68FC9F65AA8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616" name="BC$K$486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5A4C2E4-D6BA-4510-9930-AA49F64424C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618" name="BC$K$486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6A81EC8-2BDE-4970-89CA-6EE500B4A80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620" name="BC$K$486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85094FE3-36A1-437E-848C-87A04DD267B4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622" name="BC$K$486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1D70D95-333D-4309-8D82-68B50C9BA08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624" name="BC$K$486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3B1D135-A1B3-485C-823E-56B72BF948B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626" name="BC$K$486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81A2958-1F49-4E2B-AFE7-56821BC8E67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628" name="BC$K$486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401B1E80-F5E4-492E-A0FF-18FFDA98E1B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630" name="BC$K$486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2ACD066-21C4-48DD-A931-B2E381072C1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632" name="BC$K$486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5380BCA-9540-4E14-B865-068E5C90F3A6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634" name="BC$K$486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BDBB2BD-19D4-4DE5-B9BD-7B8CB8F74A7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636" name="BC$K$486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F0033F5-AC84-4145-A0DF-E485F9344B33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638" name="BC$K$486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CA8EBBE-2FB9-4411-BA93-6B4082869D1C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640" name="BC$K$486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D6918053-554C-45F5-8159-04CB8E3146C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642" name="BC$K$486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E80E77D-6850-45F3-AFFD-2D03B7376FB0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644" name="BC$K$486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A16CD57-18F2-4F0D-A750-6DD9E6A1EF43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646" name="BC$K$486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6E39816-14A4-42DC-8C95-1A424ADC9681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648" name="BC$K$486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1FB901B-C1C8-4881-99DC-6AF79225899E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650" name="BC$K$486#BR24">
                                      <a:extLst>
                                        <a:ext uri="{FF2B5EF4-FFF2-40B4-BE49-F238E27FC236}">
                                          <a16:creationId xmlns:a16="http://schemas.microsoft.com/office/drawing/2014/main" id="{430AADF0-A627-49A2-AB7E-CE76D530E48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652" name="BC$K$486#BR25">
                                    <a:extLst>
                                      <a:ext uri="{FF2B5EF4-FFF2-40B4-BE49-F238E27FC236}">
                                        <a16:creationId xmlns:a16="http://schemas.microsoft.com/office/drawing/2014/main" id="{B6EB6A2C-2006-4B59-B725-ADFAE32212A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654" name="BC$K$486#BR26">
                                  <a:extLst>
                                    <a:ext uri="{FF2B5EF4-FFF2-40B4-BE49-F238E27FC236}">
                                      <a16:creationId xmlns:a16="http://schemas.microsoft.com/office/drawing/2014/main" id="{B682A21D-3BF6-4EA4-8815-317B3A43D8C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656" name="BC$K$486#BR27">
                                <a:extLst>
                                  <a:ext uri="{FF2B5EF4-FFF2-40B4-BE49-F238E27FC236}">
                                    <a16:creationId xmlns:a16="http://schemas.microsoft.com/office/drawing/2014/main" id="{40804ADB-4E2A-41AF-A51C-09C01C043CC8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658" name="BC$K$486#BR28">
                              <a:extLst>
                                <a:ext uri="{FF2B5EF4-FFF2-40B4-BE49-F238E27FC236}">
                                  <a16:creationId xmlns:a16="http://schemas.microsoft.com/office/drawing/2014/main" id="{B2612169-8CA8-4FBC-8AE6-9B23F79BAC5B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660" name="BC$K$486#BR29">
                            <a:extLst>
                              <a:ext uri="{FF2B5EF4-FFF2-40B4-BE49-F238E27FC236}">
                                <a16:creationId xmlns:a16="http://schemas.microsoft.com/office/drawing/2014/main" id="{2C62077A-C340-4C42-BB5E-0EA52693A46B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662" name="BC$K$486#BR30">
                          <a:extLst>
                            <a:ext uri="{FF2B5EF4-FFF2-40B4-BE49-F238E27FC236}">
                              <a16:creationId xmlns:a16="http://schemas.microsoft.com/office/drawing/2014/main" id="{B40E3647-888E-4E78-9369-C19B17F7C54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664" name="BC$K$486#BR31">
                        <a:extLst>
                          <a:ext uri="{FF2B5EF4-FFF2-40B4-BE49-F238E27FC236}">
                            <a16:creationId xmlns:a16="http://schemas.microsoft.com/office/drawing/2014/main" id="{8AADD25A-C983-48F0-B5B7-7663767098AB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666" name="BC$K$486#BR32">
                      <a:extLst>
                        <a:ext uri="{FF2B5EF4-FFF2-40B4-BE49-F238E27FC236}">
                          <a16:creationId xmlns:a16="http://schemas.microsoft.com/office/drawing/2014/main" id="{3CF808D8-5A8A-4F5F-B6B0-7C68A7B0599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668" name="BC$K$486#BR33">
                    <a:extLst>
                      <a:ext uri="{FF2B5EF4-FFF2-40B4-BE49-F238E27FC236}">
                        <a16:creationId xmlns:a16="http://schemas.microsoft.com/office/drawing/2014/main" id="{1072D60A-FFD5-4E2F-B054-E939BDD28087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670" name="BC$K$486#BR34">
                  <a:extLst>
                    <a:ext uri="{FF2B5EF4-FFF2-40B4-BE49-F238E27FC236}">
                      <a16:creationId xmlns:a16="http://schemas.microsoft.com/office/drawing/2014/main" id="{98AF5274-6805-47D4-AD36-073BA46B5D23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672" name="BC$K$486#BR35">
                <a:extLst>
                  <a:ext uri="{FF2B5EF4-FFF2-40B4-BE49-F238E27FC236}">
                    <a16:creationId xmlns:a16="http://schemas.microsoft.com/office/drawing/2014/main" id="{0ED57FEB-F436-45B5-8BC9-031AF66CE51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674" name="BC$K$486#BR36">
              <a:extLst>
                <a:ext uri="{FF2B5EF4-FFF2-40B4-BE49-F238E27FC236}">
                  <a16:creationId xmlns:a16="http://schemas.microsoft.com/office/drawing/2014/main" id="{0B2AB12F-5A68-4C87-89B0-C934883AA61B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676" name="BC$K$486#BR37">
            <a:extLst>
              <a:ext uri="{FF2B5EF4-FFF2-40B4-BE49-F238E27FC236}">
                <a16:creationId xmlns:a16="http://schemas.microsoft.com/office/drawing/2014/main" id="{07D0A9F4-C57F-4569-8DF7-04E10804F94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492</xdr:row>
      <xdr:rowOff>0</xdr:rowOff>
    </xdr:from>
    <xdr:to>
      <xdr:col>27</xdr:col>
      <xdr:colOff>200025</xdr:colOff>
      <xdr:row>494</xdr:row>
      <xdr:rowOff>0</xdr:rowOff>
    </xdr:to>
    <xdr:grpSp>
      <xdr:nvGrpSpPr>
        <xdr:cNvPr id="14752" name="BC$Y$486#GR">
          <a:extLst>
            <a:ext uri="{FF2B5EF4-FFF2-40B4-BE49-F238E27FC236}">
              <a16:creationId xmlns:a16="http://schemas.microsoft.com/office/drawing/2014/main" id="{6B30E7D1-B04F-4DE0-9962-C6032F901A44}"/>
            </a:ext>
          </a:extLst>
        </xdr:cNvPr>
        <xdr:cNvGrpSpPr/>
      </xdr:nvGrpSpPr>
      <xdr:grpSpPr>
        <a:xfrm>
          <a:off x="5781675" y="93630750"/>
          <a:ext cx="381000" cy="381000"/>
          <a:chOff x="0" y="0"/>
          <a:chExt cx="381000" cy="381000"/>
        </a:xfrm>
      </xdr:grpSpPr>
      <xdr:grpSp>
        <xdr:nvGrpSpPr>
          <xdr:cNvPr id="14750" name="BC$Y$486#GR">
            <a:extLst>
              <a:ext uri="{FF2B5EF4-FFF2-40B4-BE49-F238E27FC236}">
                <a16:creationId xmlns:a16="http://schemas.microsoft.com/office/drawing/2014/main" id="{5C064949-6CD5-4B23-8A30-F377D925AC87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748" name="BC$Y$486#GR">
              <a:extLst>
                <a:ext uri="{FF2B5EF4-FFF2-40B4-BE49-F238E27FC236}">
                  <a16:creationId xmlns:a16="http://schemas.microsoft.com/office/drawing/2014/main" id="{313043F9-423C-4F91-BA6E-7CD97B7C46C6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746" name="BC$Y$486#GR">
                <a:extLst>
                  <a:ext uri="{FF2B5EF4-FFF2-40B4-BE49-F238E27FC236}">
                    <a16:creationId xmlns:a16="http://schemas.microsoft.com/office/drawing/2014/main" id="{F6144BB7-7410-4A43-B32F-E6BFF04946BD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744" name="BC$Y$486#GR">
                  <a:extLst>
                    <a:ext uri="{FF2B5EF4-FFF2-40B4-BE49-F238E27FC236}">
                      <a16:creationId xmlns:a16="http://schemas.microsoft.com/office/drawing/2014/main" id="{66B8FA1B-1FE4-49C0-8242-BEF55F3341B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742" name="BC$Y$486#GR">
                    <a:extLst>
                      <a:ext uri="{FF2B5EF4-FFF2-40B4-BE49-F238E27FC236}">
                        <a16:creationId xmlns:a16="http://schemas.microsoft.com/office/drawing/2014/main" id="{0FB52551-1231-4C1B-AD63-F04099E900C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740" name="BC$Y$486#GR">
                      <a:extLst>
                        <a:ext uri="{FF2B5EF4-FFF2-40B4-BE49-F238E27FC236}">
                          <a16:creationId xmlns:a16="http://schemas.microsoft.com/office/drawing/2014/main" id="{B1F18460-FA19-409F-9195-A030B81B4977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738" name="BC$Y$486#GR">
                        <a:extLst>
                          <a:ext uri="{FF2B5EF4-FFF2-40B4-BE49-F238E27FC236}">
                            <a16:creationId xmlns:a16="http://schemas.microsoft.com/office/drawing/2014/main" id="{A73917C4-1CB7-4D7F-A273-8BFD4B18243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736" name="BC$Y$486#GR">
                          <a:extLst>
                            <a:ext uri="{FF2B5EF4-FFF2-40B4-BE49-F238E27FC236}">
                              <a16:creationId xmlns:a16="http://schemas.microsoft.com/office/drawing/2014/main" id="{C14ACF93-5FC3-4974-8875-4950518F9BB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734" name="BC$Y$486#GR">
                            <a:extLst>
                              <a:ext uri="{FF2B5EF4-FFF2-40B4-BE49-F238E27FC236}">
                                <a16:creationId xmlns:a16="http://schemas.microsoft.com/office/drawing/2014/main" id="{B1CE1A97-B846-428E-98D9-55D4BAF0FD1B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732" name="BC$Y$486#GR">
                              <a:extLst>
                                <a:ext uri="{FF2B5EF4-FFF2-40B4-BE49-F238E27FC236}">
                                  <a16:creationId xmlns:a16="http://schemas.microsoft.com/office/drawing/2014/main" id="{F8C31C85-5CAD-4BC6-B8FE-1FB028F69A1C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730" name="BC$Y$486#GR">
                                <a:extLst>
                                  <a:ext uri="{FF2B5EF4-FFF2-40B4-BE49-F238E27FC236}">
                                    <a16:creationId xmlns:a16="http://schemas.microsoft.com/office/drawing/2014/main" id="{89483F6B-FEF9-4ED0-B5DB-5D5F90BACF94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728" name="BC$Y$486#GR">
                                  <a:extLst>
                                    <a:ext uri="{FF2B5EF4-FFF2-40B4-BE49-F238E27FC236}">
                                      <a16:creationId xmlns:a16="http://schemas.microsoft.com/office/drawing/2014/main" id="{B8309FB2-5D2B-45A4-9632-99E703C0BBB3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726" name="BC$Y$486#GR">
                                    <a:extLst>
                                      <a:ext uri="{FF2B5EF4-FFF2-40B4-BE49-F238E27FC236}">
                                        <a16:creationId xmlns:a16="http://schemas.microsoft.com/office/drawing/2014/main" id="{61351353-3FC5-445C-B173-DA82AAE4838D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724" name="BC$Y$486#GR">
                                      <a:extLst>
                                        <a:ext uri="{FF2B5EF4-FFF2-40B4-BE49-F238E27FC236}">
                                          <a16:creationId xmlns:a16="http://schemas.microsoft.com/office/drawing/2014/main" id="{494A8074-25FB-4023-B412-DDB86D965EC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722" name="BC$Y$486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348714A-50E6-4D86-AED8-DFA75B249AF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720" name="BC$Y$486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228000A-E23F-4CBC-BD48-66CC7BFE058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718" name="BC$Y$486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F9D34D-6DB0-4D3D-9759-47FF816E9951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716" name="BC$Y$486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E198DD7-BE0D-444B-AD21-B768DB59022F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714" name="BC$Y$486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AF9ACF1-A156-4B88-897E-72D9FC9B9F2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712" name="BC$Y$486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D0D9E93-4057-48A1-8505-B03CA1CCD619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710" name="BC$Y$486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033322E-A0C0-4EEA-A777-89B791D7B7A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708" name="BC$Y$486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8D288B9-7252-4253-8845-DB30DC10C85C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706" name="BC$Y$486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2DA3406-30E2-4486-9FE1-B97989690DDB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704" name="BC$Y$486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EB76C60-7730-4C52-B0DD-45F00CE2933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702" name="BC$Y$486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72653CE-CFBC-40BA-A9AC-DB04E8CD964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700" name="BC$Y$486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55C1AE5-154B-4C05-BAD1-4A36318B83B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698" name="BC$Y$486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D080F06-1CB7-4C8A-A81A-9450068B8EB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696" name="BC$Y$486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A6CBEE4-366E-49AB-A4BD-1F264494F37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694" name="BC$Y$486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AE8212B6-8C3D-4D9C-9D36-5F736C6681B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692" name="BC$Y$486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1972454-1262-4269-84F4-3E9F7E229E3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690" name="BC$Y$486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C4D647D-906D-4DBD-9042-62CB8C96130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688" name="BC$Y$486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FE7451B-F02B-41C7-80AD-E3D298F6CA0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686" name="BC$Y$486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1922FD2-07EE-48EC-A373-13B84C3E257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684" name="BC$Y$486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273C631-7A59-4A7E-8BD4-8D95CAF4C3D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682" name="BC$Y$486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085DBB8-BCD7-44EA-A0EE-2AA2F3CD108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680" name="BC$Y$486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531B6F6-EA7B-4983-A1D0-FB26EB7031B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678" name="BC$Y$486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A73F6D3-20A9-496B-BCB0-A380DC48333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679" name="BC$Y$486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F296506-61D6-4568-A437-8DB4236F3C7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681" name="BC$Y$486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3821522-F775-4EF5-9129-381CD54FFF1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683" name="BC$Y$486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C0C4A9F-1C45-485D-ACE8-4B422EDE13B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685" name="BC$Y$486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2D9B45C-D2FF-48F7-A54E-181E12472ED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687" name="BC$Y$486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CB85F8E-18BB-4470-8EB5-0E6A841C82E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689" name="BC$Y$486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1945CF8-D314-4C28-BEA7-2271295702A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691" name="BC$Y$486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9A2F339-3845-4355-B8F4-E2F0F10ABD4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693" name="BC$Y$486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75915CC7-A303-46C1-A469-B17D9097B51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695" name="BC$Y$486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4000B8A-BDED-4608-898F-65E56377D24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697" name="BC$Y$486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A3D3B82-4061-4120-8316-AE28C32C051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699" name="BC$Y$486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46BC04E1-E1AF-4420-85AF-E600E60BF9C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701" name="BC$Y$486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597E786-17DE-4584-925B-24D0B291502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703" name="BC$Y$486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FC5D147-FDFC-404F-A857-4B094761187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705" name="BC$Y$486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5AC1C9E-273C-4266-A167-A96F3E1116F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707" name="BC$Y$486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63F28A9-1E12-41AD-AF5F-B031715BFF5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709" name="BC$Y$486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6D95CB6-27ED-4B68-B283-9024161EEFC1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711" name="BC$Y$486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6FB618F-D158-4221-8227-87EF9C718B1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713" name="BC$Y$486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7502A71-D1B0-4E95-9899-7FD43F42E848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715" name="BC$Y$486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052962D-E901-45FB-BEDA-2D0C5675CCE9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717" name="BC$Y$486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4F7D6A9-0EE5-48B6-8700-59D630924275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719" name="BC$Y$486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B2188C5-C0B9-4600-8FB8-94C72DEA7A1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721" name="BC$Y$486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2B146E6-61F7-495E-9892-72318A9F6D7D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723" name="BC$Y$486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D6CB007-6B9A-4666-8277-E53810B4D266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725" name="BC$Y$486#BR24">
                                      <a:extLst>
                                        <a:ext uri="{FF2B5EF4-FFF2-40B4-BE49-F238E27FC236}">
                                          <a16:creationId xmlns:a16="http://schemas.microsoft.com/office/drawing/2014/main" id="{4BB055B9-FD8D-45CF-B0F7-194CDEB95E8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727" name="BC$Y$486#BR25">
                                    <a:extLst>
                                      <a:ext uri="{FF2B5EF4-FFF2-40B4-BE49-F238E27FC236}">
                                        <a16:creationId xmlns:a16="http://schemas.microsoft.com/office/drawing/2014/main" id="{99257041-F6A6-4F5B-99A9-5C1011575E9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729" name="BC$Y$486#BR26">
                                  <a:extLst>
                                    <a:ext uri="{FF2B5EF4-FFF2-40B4-BE49-F238E27FC236}">
                                      <a16:creationId xmlns:a16="http://schemas.microsoft.com/office/drawing/2014/main" id="{D85D93C1-DA37-4389-A65C-51858DDDE54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731" name="BC$Y$486#BR27">
                                <a:extLst>
                                  <a:ext uri="{FF2B5EF4-FFF2-40B4-BE49-F238E27FC236}">
                                    <a16:creationId xmlns:a16="http://schemas.microsoft.com/office/drawing/2014/main" id="{07E924D1-2051-4A04-A969-F1F2481281F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733" name="BC$Y$486#BR28">
                              <a:extLst>
                                <a:ext uri="{FF2B5EF4-FFF2-40B4-BE49-F238E27FC236}">
                                  <a16:creationId xmlns:a16="http://schemas.microsoft.com/office/drawing/2014/main" id="{06C7302D-2DBD-4CB3-B915-3336C85D944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735" name="BC$Y$486#BR29">
                            <a:extLst>
                              <a:ext uri="{FF2B5EF4-FFF2-40B4-BE49-F238E27FC236}">
                                <a16:creationId xmlns:a16="http://schemas.microsoft.com/office/drawing/2014/main" id="{90015BA0-B590-4FBC-BDA2-A44B674CED6C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737" name="BC$Y$486#BR30">
                          <a:extLst>
                            <a:ext uri="{FF2B5EF4-FFF2-40B4-BE49-F238E27FC236}">
                              <a16:creationId xmlns:a16="http://schemas.microsoft.com/office/drawing/2014/main" id="{31D23E77-90B5-4FF7-81EF-547C9943D0BE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739" name="BC$Y$486#BR31">
                        <a:extLst>
                          <a:ext uri="{FF2B5EF4-FFF2-40B4-BE49-F238E27FC236}">
                            <a16:creationId xmlns:a16="http://schemas.microsoft.com/office/drawing/2014/main" id="{42502E02-4043-4573-A102-1496ADAEF7E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741" name="BC$Y$486#BR32">
                      <a:extLst>
                        <a:ext uri="{FF2B5EF4-FFF2-40B4-BE49-F238E27FC236}">
                          <a16:creationId xmlns:a16="http://schemas.microsoft.com/office/drawing/2014/main" id="{D7FDE4DC-4F07-4E3E-8289-673C769A61B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743" name="BC$Y$486#BR33">
                    <a:extLst>
                      <a:ext uri="{FF2B5EF4-FFF2-40B4-BE49-F238E27FC236}">
                        <a16:creationId xmlns:a16="http://schemas.microsoft.com/office/drawing/2014/main" id="{7FDA1DAA-4B9A-4B9D-BF7E-0CCDD41C8F6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745" name="BC$Y$486#BR34">
                  <a:extLst>
                    <a:ext uri="{FF2B5EF4-FFF2-40B4-BE49-F238E27FC236}">
                      <a16:creationId xmlns:a16="http://schemas.microsoft.com/office/drawing/2014/main" id="{8050F63C-2423-4ADD-AD68-63D99480F595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747" name="BC$Y$486#BR35">
                <a:extLst>
                  <a:ext uri="{FF2B5EF4-FFF2-40B4-BE49-F238E27FC236}">
                    <a16:creationId xmlns:a16="http://schemas.microsoft.com/office/drawing/2014/main" id="{8F9B73C7-2DBE-4C28-A686-152A98A0525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749" name="BC$Y$486#BR36">
              <a:extLst>
                <a:ext uri="{FF2B5EF4-FFF2-40B4-BE49-F238E27FC236}">
                  <a16:creationId xmlns:a16="http://schemas.microsoft.com/office/drawing/2014/main" id="{00654FE1-7669-448D-BD35-DB0315E0ADE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751" name="BC$Y$486#BR37">
            <a:extLst>
              <a:ext uri="{FF2B5EF4-FFF2-40B4-BE49-F238E27FC236}">
                <a16:creationId xmlns:a16="http://schemas.microsoft.com/office/drawing/2014/main" id="{10E898F7-4C41-43DB-958F-A87A70BB6B01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448</xdr:row>
      <xdr:rowOff>9525</xdr:rowOff>
    </xdr:from>
    <xdr:to>
      <xdr:col>27</xdr:col>
      <xdr:colOff>190500</xdr:colOff>
      <xdr:row>450</xdr:row>
      <xdr:rowOff>9525</xdr:rowOff>
    </xdr:to>
    <xdr:grpSp>
      <xdr:nvGrpSpPr>
        <xdr:cNvPr id="14831" name="BC$Y$442#GR">
          <a:extLst>
            <a:ext uri="{FF2B5EF4-FFF2-40B4-BE49-F238E27FC236}">
              <a16:creationId xmlns:a16="http://schemas.microsoft.com/office/drawing/2014/main" id="{215F76F1-F050-4D4C-8314-266F003B4E2B}"/>
            </a:ext>
          </a:extLst>
        </xdr:cNvPr>
        <xdr:cNvGrpSpPr/>
      </xdr:nvGrpSpPr>
      <xdr:grpSpPr>
        <a:xfrm>
          <a:off x="5772150" y="85258275"/>
          <a:ext cx="381000" cy="381000"/>
          <a:chOff x="0" y="0"/>
          <a:chExt cx="381000" cy="381000"/>
        </a:xfrm>
      </xdr:grpSpPr>
      <xdr:grpSp>
        <xdr:nvGrpSpPr>
          <xdr:cNvPr id="14829" name="BC$Y$442#GR">
            <a:extLst>
              <a:ext uri="{FF2B5EF4-FFF2-40B4-BE49-F238E27FC236}">
                <a16:creationId xmlns:a16="http://schemas.microsoft.com/office/drawing/2014/main" id="{27D49433-9D6A-4F7C-BBCD-B250193CAB9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4827" name="BC$Y$442#GR">
              <a:extLst>
                <a:ext uri="{FF2B5EF4-FFF2-40B4-BE49-F238E27FC236}">
                  <a16:creationId xmlns:a16="http://schemas.microsoft.com/office/drawing/2014/main" id="{E7119B9F-F6DE-48C6-9917-F1DFA5E3A3B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4825" name="BC$Y$442#GR">
                <a:extLst>
                  <a:ext uri="{FF2B5EF4-FFF2-40B4-BE49-F238E27FC236}">
                    <a16:creationId xmlns:a16="http://schemas.microsoft.com/office/drawing/2014/main" id="{41DB0239-4AAE-4603-A8A2-BE17CBDE06A7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4823" name="BC$Y$442#GR">
                  <a:extLst>
                    <a:ext uri="{FF2B5EF4-FFF2-40B4-BE49-F238E27FC236}">
                      <a16:creationId xmlns:a16="http://schemas.microsoft.com/office/drawing/2014/main" id="{4619C67F-70EF-4FBC-AA85-FE02BEA5802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821" name="BC$Y$442#GR">
                    <a:extLst>
                      <a:ext uri="{FF2B5EF4-FFF2-40B4-BE49-F238E27FC236}">
                        <a16:creationId xmlns:a16="http://schemas.microsoft.com/office/drawing/2014/main" id="{E7D2790A-3B4A-43FF-B9A1-3008A92E7AC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819" name="BC$Y$442#GR">
                      <a:extLst>
                        <a:ext uri="{FF2B5EF4-FFF2-40B4-BE49-F238E27FC236}">
                          <a16:creationId xmlns:a16="http://schemas.microsoft.com/office/drawing/2014/main" id="{C39F633E-A7C5-469E-9439-E6AFB8AE115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4817" name="BC$Y$442#GR">
                        <a:extLst>
                          <a:ext uri="{FF2B5EF4-FFF2-40B4-BE49-F238E27FC236}">
                            <a16:creationId xmlns:a16="http://schemas.microsoft.com/office/drawing/2014/main" id="{94A2C1ED-1D14-4866-AB22-B5649A3652D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4815" name="BC$Y$442#GR">
                          <a:extLst>
                            <a:ext uri="{FF2B5EF4-FFF2-40B4-BE49-F238E27FC236}">
                              <a16:creationId xmlns:a16="http://schemas.microsoft.com/office/drawing/2014/main" id="{5B61129E-9C01-45C8-A518-E03FAD1125B9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4813" name="BC$Y$442#GR">
                            <a:extLst>
                              <a:ext uri="{FF2B5EF4-FFF2-40B4-BE49-F238E27FC236}">
                                <a16:creationId xmlns:a16="http://schemas.microsoft.com/office/drawing/2014/main" id="{F207BB80-54C9-42E9-8E0E-34DD7A6D390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4811" name="BC$Y$442#GR">
                              <a:extLst>
                                <a:ext uri="{FF2B5EF4-FFF2-40B4-BE49-F238E27FC236}">
                                  <a16:creationId xmlns:a16="http://schemas.microsoft.com/office/drawing/2014/main" id="{8EB36734-380B-4A4D-84D7-D0B2BCDABAB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4809" name="BC$Y$442#GR">
                                <a:extLst>
                                  <a:ext uri="{FF2B5EF4-FFF2-40B4-BE49-F238E27FC236}">
                                    <a16:creationId xmlns:a16="http://schemas.microsoft.com/office/drawing/2014/main" id="{DCEC51FA-2663-48A9-ADA7-1E299F50C1DD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4807" name="BC$Y$442#GR">
                                  <a:extLst>
                                    <a:ext uri="{FF2B5EF4-FFF2-40B4-BE49-F238E27FC236}">
                                      <a16:creationId xmlns:a16="http://schemas.microsoft.com/office/drawing/2014/main" id="{0E049AC3-6C52-41FB-915F-D350944623E7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4805" name="BC$Y$442#GR">
                                    <a:extLst>
                                      <a:ext uri="{FF2B5EF4-FFF2-40B4-BE49-F238E27FC236}">
                                        <a16:creationId xmlns:a16="http://schemas.microsoft.com/office/drawing/2014/main" id="{D5E5A1D8-A755-463C-BFD2-3C1DC3BC027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4803" name="BC$Y$442#GR">
                                      <a:extLst>
                                        <a:ext uri="{FF2B5EF4-FFF2-40B4-BE49-F238E27FC236}">
                                          <a16:creationId xmlns:a16="http://schemas.microsoft.com/office/drawing/2014/main" id="{834D6D62-C187-4052-8D9E-0887697F97A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4801" name="BC$Y$442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0084AE9-C5E9-4433-8D7C-951005EB0B9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4799" name="BC$Y$442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47D4A69-71E0-4DD2-A056-CD694FF8AED8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4797" name="BC$Y$442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236355F-73DC-44F2-8A3C-7D7B1CB56735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795" name="BC$Y$442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F1C4F60-500B-4089-993F-049BA9D855B3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4793" name="BC$Y$442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9496F20C-4089-409E-A94E-97CBB49D4F4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791" name="BC$Y$442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5099937-0D52-43E3-9DB2-32E3A06EE7AD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4789" name="BC$Y$442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FAE491E-1C13-4CAA-84D9-170FB25B2771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4787" name="BC$Y$442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2B54063-6332-44EE-A04E-8FD42DAF694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4785" name="BC$Y$442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370A3C7-C6CB-46F4-8721-1657468B19D1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4783" name="BC$Y$442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6EBD174-4DEE-4390-A699-B6ED685079F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4781" name="BC$Y$442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5576C46-8106-4280-B579-EF36AA75605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4779" name="BC$Y$442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ABF1677-1D56-4388-83B7-B7517C60ABD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4777" name="BC$Y$442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55D8DEA-B005-4811-80C1-C84400C0E77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4775" name="BC$Y$442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3715864-1EF2-41E2-8C32-E4B24862DAC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4773" name="BC$Y$442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C724196-1222-417B-8B90-94194F152F4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4771" name="BC$Y$442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488D2CF-997D-4410-BB7A-03D4E5FED41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4769" name="BC$Y$442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167DFF1-EFA1-4E0E-93CE-4768D136F63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4767" name="BC$Y$442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B448F58-1A8C-4643-82E9-16F638B59EA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765" name="BC$Y$442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75294A8-95A7-493D-BBDB-528268D7FEF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763" name="BC$Y$442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C2F95C7-3D46-47A5-A14E-58EF5686E05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761" name="BC$Y$442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8FD3712-B167-469C-BFB0-FA30C8B1649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759" name="BC$Y$442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5CAEA64-818A-47D9-9296-7C3CC97C02E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4757" name="BC$Y$442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1A0F5F9-91BE-40BA-9056-9FA67BD67AA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4755" name="BC$Y$442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B9B766D-A670-48F2-9283-C98C432B6DF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4753" name="BC$Y$442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3FEAA30-F98A-4D66-83A6-4231E89D21CC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4754" name="BC$Y$442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9FC9606-991C-487E-AC76-33B0DDD0FDD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4756" name="BC$Y$442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591FD94C-134B-4470-AE85-3C817B83C7AC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758" name="BC$Y$442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E525048-4519-4E9B-99BA-5C7D71A2F92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760" name="BC$Y$442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A1086C5-9EFE-4B08-85F2-E8F97AB93432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762" name="BC$Y$442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D0D7DC1-DD6C-474A-AE9D-4955899D0B1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764" name="BC$Y$442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A454162-4578-46DD-A882-307C89EEBBB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4766" name="BC$Y$442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A564E90-5360-4FCC-8EAD-3354E5BDBF5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4768" name="BC$Y$442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C6BF5FA-379F-4A33-BBAF-DD666E23681E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4770" name="BC$Y$442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2C236B5-C41B-4AE2-9107-EBA2B023E7F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4772" name="BC$Y$442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E902F945-36BD-467F-AFC6-312D166C7B2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4774" name="BC$Y$442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4CCFF06-625D-4369-AD88-E6292C2E896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4776" name="BC$Y$442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90EC299-B7C1-483E-BD26-02E3B825486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4778" name="BC$Y$442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8409D9F-85D6-49E4-9B9D-B1D1499AB77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4780" name="BC$Y$442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7B17AC6-1345-456C-A290-C3EF5440E954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4782" name="BC$Y$442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101C92B-C2A0-4F9E-A5F3-DF3DD406E23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4784" name="BC$Y$442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2AD3D07-F9F3-4724-ADEF-948D0629AE34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4786" name="BC$Y$442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C30A3E1-E830-4144-AFB7-D694F1A5B8D6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4788" name="BC$Y$442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AE15427-D507-4CD6-8080-9FF8C4EA9E2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4790" name="BC$Y$442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AEFE311-FDE3-4299-8BF2-831359BBEE2D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4792" name="BC$Y$442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7BD1CF4-B663-4712-BA28-9C1C0C7F20A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4794" name="BC$Y$442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94375F3-817C-448C-9776-ECA06490EF47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4796" name="BC$Y$442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CF0ED0C4-1672-4230-8DB3-E6DD6F59D2A8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4798" name="BC$Y$442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7E7C150-BD9A-4D44-B355-BA8209C77D0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4800" name="BC$Y$442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4014D12-CFBB-438F-AD8A-54259378CA8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4802" name="BC$Y$442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B553347-BE2D-4E1B-948C-B6DAA7DA67E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4804" name="BC$Y$442#BR26">
                                      <a:extLst>
                                        <a:ext uri="{FF2B5EF4-FFF2-40B4-BE49-F238E27FC236}">
                                          <a16:creationId xmlns:a16="http://schemas.microsoft.com/office/drawing/2014/main" id="{D2236C68-6B61-4450-A26C-099B246474A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4806" name="BC$Y$442#BR27">
                                    <a:extLst>
                                      <a:ext uri="{FF2B5EF4-FFF2-40B4-BE49-F238E27FC236}">
                                        <a16:creationId xmlns:a16="http://schemas.microsoft.com/office/drawing/2014/main" id="{F2941ABC-445F-4F57-8D38-B81991667C1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4808" name="BC$Y$442#BR28">
                                  <a:extLst>
                                    <a:ext uri="{FF2B5EF4-FFF2-40B4-BE49-F238E27FC236}">
                                      <a16:creationId xmlns:a16="http://schemas.microsoft.com/office/drawing/2014/main" id="{4E1437B0-D43E-4C18-BB2D-27E5C7A6D2F6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4810" name="BC$Y$442#BR29">
                                <a:extLst>
                                  <a:ext uri="{FF2B5EF4-FFF2-40B4-BE49-F238E27FC236}">
                                    <a16:creationId xmlns:a16="http://schemas.microsoft.com/office/drawing/2014/main" id="{0F5FF358-0B12-46BB-AA66-80976F9B783E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4812" name="BC$Y$442#BR30">
                              <a:extLst>
                                <a:ext uri="{FF2B5EF4-FFF2-40B4-BE49-F238E27FC236}">
                                  <a16:creationId xmlns:a16="http://schemas.microsoft.com/office/drawing/2014/main" id="{9B85D25F-514E-43CB-AB6D-2594914D9ED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4814" name="BC$Y$442#BR31">
                            <a:extLst>
                              <a:ext uri="{FF2B5EF4-FFF2-40B4-BE49-F238E27FC236}">
                                <a16:creationId xmlns:a16="http://schemas.microsoft.com/office/drawing/2014/main" id="{18EE8810-6F54-4200-9EAC-B5FABF9FD564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4816" name="BC$Y$442#BR32">
                          <a:extLst>
                            <a:ext uri="{FF2B5EF4-FFF2-40B4-BE49-F238E27FC236}">
                              <a16:creationId xmlns:a16="http://schemas.microsoft.com/office/drawing/2014/main" id="{7E618714-5AEF-47BC-A634-6DC97B2C356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818" name="BC$Y$442#BR33">
                        <a:extLst>
                          <a:ext uri="{FF2B5EF4-FFF2-40B4-BE49-F238E27FC236}">
                            <a16:creationId xmlns:a16="http://schemas.microsoft.com/office/drawing/2014/main" id="{954A2EF2-5D10-4C3E-8287-4F6D83D1784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820" name="BC$Y$442#BR34">
                      <a:extLst>
                        <a:ext uri="{FF2B5EF4-FFF2-40B4-BE49-F238E27FC236}">
                          <a16:creationId xmlns:a16="http://schemas.microsoft.com/office/drawing/2014/main" id="{EDB8C157-94C7-42F2-97CA-C6AF8B1CE034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822" name="BC$Y$442#BR35">
                    <a:extLst>
                      <a:ext uri="{FF2B5EF4-FFF2-40B4-BE49-F238E27FC236}">
                        <a16:creationId xmlns:a16="http://schemas.microsoft.com/office/drawing/2014/main" id="{29840127-9CA4-4F27-AD39-CFB0C395962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4824" name="BC$Y$442#BR36">
                  <a:extLst>
                    <a:ext uri="{FF2B5EF4-FFF2-40B4-BE49-F238E27FC236}">
                      <a16:creationId xmlns:a16="http://schemas.microsoft.com/office/drawing/2014/main" id="{DA107BE1-E4DC-4FDA-9C70-0801D78887AA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4826" name="BC$Y$442#BR37">
                <a:extLst>
                  <a:ext uri="{FF2B5EF4-FFF2-40B4-BE49-F238E27FC236}">
                    <a16:creationId xmlns:a16="http://schemas.microsoft.com/office/drawing/2014/main" id="{A51ADCDC-743B-4A48-9D68-7C50D46EC803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4828" name="BC$Y$442#BR38">
              <a:extLst>
                <a:ext uri="{FF2B5EF4-FFF2-40B4-BE49-F238E27FC236}">
                  <a16:creationId xmlns:a16="http://schemas.microsoft.com/office/drawing/2014/main" id="{E67C47A7-7DFD-47B6-93BC-EA355F963878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830" name="BC$Y$442#BR39">
            <a:extLst>
              <a:ext uri="{FF2B5EF4-FFF2-40B4-BE49-F238E27FC236}">
                <a16:creationId xmlns:a16="http://schemas.microsoft.com/office/drawing/2014/main" id="{D372ADB0-575C-47BE-B4DC-2BF9891270C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503</xdr:row>
      <xdr:rowOff>9525</xdr:rowOff>
    </xdr:from>
    <xdr:to>
      <xdr:col>13</xdr:col>
      <xdr:colOff>200025</xdr:colOff>
      <xdr:row>505</xdr:row>
      <xdr:rowOff>9525</xdr:rowOff>
    </xdr:to>
    <xdr:grpSp>
      <xdr:nvGrpSpPr>
        <xdr:cNvPr id="15660" name="BC$K$497#GR">
          <a:extLst>
            <a:ext uri="{FF2B5EF4-FFF2-40B4-BE49-F238E27FC236}">
              <a16:creationId xmlns:a16="http://schemas.microsoft.com/office/drawing/2014/main" id="{FEC94A02-C145-42CD-AF35-47C8FA88AFF4}"/>
            </a:ext>
          </a:extLst>
        </xdr:cNvPr>
        <xdr:cNvGrpSpPr/>
      </xdr:nvGrpSpPr>
      <xdr:grpSpPr>
        <a:xfrm>
          <a:off x="2667000" y="95735775"/>
          <a:ext cx="381000" cy="381000"/>
          <a:chOff x="0" y="0"/>
          <a:chExt cx="381000" cy="381000"/>
        </a:xfrm>
      </xdr:grpSpPr>
      <xdr:grpSp>
        <xdr:nvGrpSpPr>
          <xdr:cNvPr id="15658" name="BC$K$497#GR">
            <a:extLst>
              <a:ext uri="{FF2B5EF4-FFF2-40B4-BE49-F238E27FC236}">
                <a16:creationId xmlns:a16="http://schemas.microsoft.com/office/drawing/2014/main" id="{0D7BF7FE-53EE-46DE-804A-B8B5852BD4D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5656" name="BC$K$497#GR">
              <a:extLst>
                <a:ext uri="{FF2B5EF4-FFF2-40B4-BE49-F238E27FC236}">
                  <a16:creationId xmlns:a16="http://schemas.microsoft.com/office/drawing/2014/main" id="{AA0ED728-3F17-43F6-AB36-CB65B3885BEE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5654" name="BC$K$497#GR">
                <a:extLst>
                  <a:ext uri="{FF2B5EF4-FFF2-40B4-BE49-F238E27FC236}">
                    <a16:creationId xmlns:a16="http://schemas.microsoft.com/office/drawing/2014/main" id="{F9E063B8-2812-4015-865F-62B4E800497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5652" name="BC$K$497#GR">
                  <a:extLst>
                    <a:ext uri="{FF2B5EF4-FFF2-40B4-BE49-F238E27FC236}">
                      <a16:creationId xmlns:a16="http://schemas.microsoft.com/office/drawing/2014/main" id="{3132A80D-0896-4CA3-943F-6CCB0F6B2EFE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5650" name="BC$K$497#GR">
                    <a:extLst>
                      <a:ext uri="{FF2B5EF4-FFF2-40B4-BE49-F238E27FC236}">
                        <a16:creationId xmlns:a16="http://schemas.microsoft.com/office/drawing/2014/main" id="{E5840484-17B8-4424-B361-FA1EC8A2A2C7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5648" name="BC$K$497#GR">
                      <a:extLst>
                        <a:ext uri="{FF2B5EF4-FFF2-40B4-BE49-F238E27FC236}">
                          <a16:creationId xmlns:a16="http://schemas.microsoft.com/office/drawing/2014/main" id="{AEA54FBD-4034-459E-9B29-A400B1493CC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5646" name="BC$K$497#GR">
                        <a:extLst>
                          <a:ext uri="{FF2B5EF4-FFF2-40B4-BE49-F238E27FC236}">
                            <a16:creationId xmlns:a16="http://schemas.microsoft.com/office/drawing/2014/main" id="{D9EB59DE-AFC6-4365-B165-6AB984E9B8E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5644" name="BC$K$497#GR">
                          <a:extLst>
                            <a:ext uri="{FF2B5EF4-FFF2-40B4-BE49-F238E27FC236}">
                              <a16:creationId xmlns:a16="http://schemas.microsoft.com/office/drawing/2014/main" id="{2FC601DD-639B-4986-A359-AEA66E2051D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5642" name="BC$K$497#GR">
                            <a:extLst>
                              <a:ext uri="{FF2B5EF4-FFF2-40B4-BE49-F238E27FC236}">
                                <a16:creationId xmlns:a16="http://schemas.microsoft.com/office/drawing/2014/main" id="{791D86CE-0DF8-4C3D-BDA4-A41EB1C1DC34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5640" name="BC$K$497#GR">
                              <a:extLst>
                                <a:ext uri="{FF2B5EF4-FFF2-40B4-BE49-F238E27FC236}">
                                  <a16:creationId xmlns:a16="http://schemas.microsoft.com/office/drawing/2014/main" id="{6EDA3113-F0FF-476A-9EF7-F607F8E7269F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5638" name="BC$K$497#GR">
                                <a:extLst>
                                  <a:ext uri="{FF2B5EF4-FFF2-40B4-BE49-F238E27FC236}">
                                    <a16:creationId xmlns:a16="http://schemas.microsoft.com/office/drawing/2014/main" id="{944D4329-B4CB-417D-8755-8EA4EE67AAC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5636" name="BC$K$497#GR">
                                  <a:extLst>
                                    <a:ext uri="{FF2B5EF4-FFF2-40B4-BE49-F238E27FC236}">
                                      <a16:creationId xmlns:a16="http://schemas.microsoft.com/office/drawing/2014/main" id="{0BA2D013-AE64-4863-95ED-85FAFEF51B08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5634" name="BC$K$497#GR">
                                    <a:extLst>
                                      <a:ext uri="{FF2B5EF4-FFF2-40B4-BE49-F238E27FC236}">
                                        <a16:creationId xmlns:a16="http://schemas.microsoft.com/office/drawing/2014/main" id="{902742B8-7938-4577-A2D4-42DBFF371196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5632" name="BC$K$497#GR">
                                      <a:extLst>
                                        <a:ext uri="{FF2B5EF4-FFF2-40B4-BE49-F238E27FC236}">
                                          <a16:creationId xmlns:a16="http://schemas.microsoft.com/office/drawing/2014/main" id="{493B8472-49F5-49DB-AA1C-B4202A73A2A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5630" name="BC$K$49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24CA60D-7019-4883-A2EA-DBEA5757D0FA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5628" name="BC$K$49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F0A9706-A16B-4D5C-987A-4C3CF5C5F67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5626" name="BC$K$49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E9AD84F-C953-44F6-B0B0-0CA65E2D771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5624" name="BC$K$49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231B231-6198-4A39-B26E-B0893C64FCA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5622" name="BC$K$49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F24ABF0-ED1F-426E-9F2C-E6A4783133D3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5620" name="BC$K$49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323E7530-7F03-4A98-92CB-711A0F6DE01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5618" name="BC$K$49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26EA1C4-5AF9-46CF-A1C3-97B433182B35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5616" name="BC$K$49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CAC991F-D347-4C6B-88FA-F59A5F8398DB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5614" name="BC$K$49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EB3012B-E568-449F-9722-F4EC9BD2691B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5612" name="BC$K$49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E0A74CB-CA6C-41E0-A581-E7F90A1D2EA3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5610" name="BC$K$49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B171575-8CBC-4951-8DF6-DCDD581FB78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5608" name="BC$K$49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69F495C-C3DB-44A8-A074-4C346D84DC1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5606" name="BC$K$49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C177948-C27C-4FCA-B60A-53480FE87A7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5604" name="BC$K$49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6BC9E61-AF20-42D4-A638-C7ABB12379B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5602" name="BC$K$49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BE1F1BF-FCDE-4CCE-8533-FC5FA1E9F52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5600" name="BC$K$49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F55BC39-4708-42E6-A1D6-B55AD507F69A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5598" name="BC$K$49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767B4A5-6BFA-49F9-92DA-F17B156B5C8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5596" name="BC$K$49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FA10F04-5C3D-400A-8D62-3E0A5C906C7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5594" name="BC$K$49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41D544D-7254-4B3B-929E-A256EB60E8E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5592" name="BC$K$49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0A2EFDB-19B3-435A-9CD8-C791EC9A67F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5590" name="BC$K$49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67CC91B-7A22-410A-81BC-01E450E1050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5588" name="BC$K$49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7F1A2E4-6FD1-4C4A-83AF-C5AF556ADB7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586" name="BC$K$497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9A93948-AFD2-41A8-8DD6-912F2EDD502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587" name="BC$K$497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81F38E3-A58C-4FC7-BCCD-368506652FA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5589" name="BC$K$497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8ECFB050-4C44-4A3A-B0BB-AF03CDE6070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5591" name="BC$K$497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2B8B868-87EA-45BE-8F9A-E5AC028544B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5593" name="BC$K$497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A036649-86B2-4C27-B936-35ECA94DA21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595" name="BC$K$497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0D3C2B3-B615-4526-B253-221B896FD71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5597" name="BC$K$497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F4DAC35-08D0-45D9-87EE-CEB0F40036B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5599" name="BC$K$497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3C19995-BF9A-49B1-9FF8-EF638EAF239D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5601" name="BC$K$497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2A9E736-142E-4C25-B6CF-021132A4EB7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5603" name="BC$K$497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660A8D1-E7D6-4C36-9890-C43C39C4106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5605" name="BC$K$497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830C012-B5ED-4EBE-82E7-0BE54339C47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5607" name="BC$K$497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9D5CD2AA-B2B9-44CF-B8BB-35EEF72DDC1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5609" name="BC$K$497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0D96C4E-8443-4A2B-A9AB-95465AFE520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5611" name="BC$K$497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71C0F08-D955-414F-923C-475C9509D3F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5613" name="BC$K$497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262C0C2-FC7C-4C17-8F76-915D2D1CAE99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5615" name="BC$K$497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8FB1286-D613-4EB5-9B74-F958D494FB0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5617" name="BC$K$497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40B5A58-0E3C-439A-AED8-F5106FD83F6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5619" name="BC$K$497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0305F40-E8F4-4ADC-9D71-526573E5936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621" name="BC$K$497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65F0489-1BB6-4BAF-B4D0-4A93DF566389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5623" name="BC$K$497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EBF25F3-0DB9-4BFC-8292-ECA1EFDA7F2E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5625" name="BC$K$497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0D1829C-2CDE-4EFA-8F86-C53B3695E42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5627" name="BC$K$497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3C7EB81-13F2-4AA5-97E6-5310ED1700E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5629" name="BC$K$497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5C927B6-9583-4724-AC78-AD432C09DEAB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5631" name="BC$K$497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0E33840-BCC2-404F-AB99-9C2B87DC3E1F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5633" name="BC$K$497#BR24">
                                      <a:extLst>
                                        <a:ext uri="{FF2B5EF4-FFF2-40B4-BE49-F238E27FC236}">
                                          <a16:creationId xmlns:a16="http://schemas.microsoft.com/office/drawing/2014/main" id="{E5782399-9B11-409E-9260-6EB1490B0BB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5635" name="BC$K$497#BR25">
                                    <a:extLst>
                                      <a:ext uri="{FF2B5EF4-FFF2-40B4-BE49-F238E27FC236}">
                                        <a16:creationId xmlns:a16="http://schemas.microsoft.com/office/drawing/2014/main" id="{4BA58D15-1374-483D-ACF1-D13A8FDA3DA9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5637" name="BC$K$497#BR26">
                                  <a:extLst>
                                    <a:ext uri="{FF2B5EF4-FFF2-40B4-BE49-F238E27FC236}">
                                      <a16:creationId xmlns:a16="http://schemas.microsoft.com/office/drawing/2014/main" id="{887BDC9D-1BCB-437C-9138-9EAD0BE2971F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5639" name="BC$K$497#BR27">
                                <a:extLst>
                                  <a:ext uri="{FF2B5EF4-FFF2-40B4-BE49-F238E27FC236}">
                                    <a16:creationId xmlns:a16="http://schemas.microsoft.com/office/drawing/2014/main" id="{EE219DD2-D5FE-412B-9E21-B7769DF689CB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5641" name="BC$K$497#BR28">
                              <a:extLst>
                                <a:ext uri="{FF2B5EF4-FFF2-40B4-BE49-F238E27FC236}">
                                  <a16:creationId xmlns:a16="http://schemas.microsoft.com/office/drawing/2014/main" id="{EEBDF303-8037-4B3E-B38F-DB977B5F580E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5643" name="BC$K$497#BR29">
                            <a:extLst>
                              <a:ext uri="{FF2B5EF4-FFF2-40B4-BE49-F238E27FC236}">
                                <a16:creationId xmlns:a16="http://schemas.microsoft.com/office/drawing/2014/main" id="{87566C0F-6232-4643-8A34-4E7D335E65D7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5645" name="BC$K$497#BR30">
                          <a:extLst>
                            <a:ext uri="{FF2B5EF4-FFF2-40B4-BE49-F238E27FC236}">
                              <a16:creationId xmlns:a16="http://schemas.microsoft.com/office/drawing/2014/main" id="{BF49EC5E-0E4B-4041-88AE-FBADE337CD8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5647" name="BC$K$497#BR31">
                        <a:extLst>
                          <a:ext uri="{FF2B5EF4-FFF2-40B4-BE49-F238E27FC236}">
                            <a16:creationId xmlns:a16="http://schemas.microsoft.com/office/drawing/2014/main" id="{7DA70B42-9B12-4B77-964F-CD1A0CCB666C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5649" name="BC$K$497#BR32">
                      <a:extLst>
                        <a:ext uri="{FF2B5EF4-FFF2-40B4-BE49-F238E27FC236}">
                          <a16:creationId xmlns:a16="http://schemas.microsoft.com/office/drawing/2014/main" id="{E6EFD8A3-0F0A-4761-965C-39529E6A9D10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5651" name="BC$K$497#BR33">
                    <a:extLst>
                      <a:ext uri="{FF2B5EF4-FFF2-40B4-BE49-F238E27FC236}">
                        <a16:creationId xmlns:a16="http://schemas.microsoft.com/office/drawing/2014/main" id="{77184224-0F79-4433-81C9-60207F542FF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5653" name="BC$K$497#BR34">
                  <a:extLst>
                    <a:ext uri="{FF2B5EF4-FFF2-40B4-BE49-F238E27FC236}">
                      <a16:creationId xmlns:a16="http://schemas.microsoft.com/office/drawing/2014/main" id="{21F7BBCD-3589-4B39-9D92-324A7EE9B32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5655" name="BC$K$497#BR35">
                <a:extLst>
                  <a:ext uri="{FF2B5EF4-FFF2-40B4-BE49-F238E27FC236}">
                    <a16:creationId xmlns:a16="http://schemas.microsoft.com/office/drawing/2014/main" id="{9763ECB8-DCD4-4004-8E43-E68A24C8D1D7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5657" name="BC$K$497#BR36">
              <a:extLst>
                <a:ext uri="{FF2B5EF4-FFF2-40B4-BE49-F238E27FC236}">
                  <a16:creationId xmlns:a16="http://schemas.microsoft.com/office/drawing/2014/main" id="{C237176A-073C-4200-A530-FAB18DF824B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5659" name="BC$K$497#BR37">
            <a:extLst>
              <a:ext uri="{FF2B5EF4-FFF2-40B4-BE49-F238E27FC236}">
                <a16:creationId xmlns:a16="http://schemas.microsoft.com/office/drawing/2014/main" id="{E8C13AB8-2F38-45CC-BCDA-5F821E73241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503</xdr:row>
      <xdr:rowOff>9525</xdr:rowOff>
    </xdr:from>
    <xdr:to>
      <xdr:col>27</xdr:col>
      <xdr:colOff>200025</xdr:colOff>
      <xdr:row>505</xdr:row>
      <xdr:rowOff>9525</xdr:rowOff>
    </xdr:to>
    <xdr:grpSp>
      <xdr:nvGrpSpPr>
        <xdr:cNvPr id="15735" name="BC$Y$497#GR">
          <a:extLst>
            <a:ext uri="{FF2B5EF4-FFF2-40B4-BE49-F238E27FC236}">
              <a16:creationId xmlns:a16="http://schemas.microsoft.com/office/drawing/2014/main" id="{DD504DF2-0DF6-4887-9EC9-9C8AEF160D93}"/>
            </a:ext>
          </a:extLst>
        </xdr:cNvPr>
        <xdr:cNvGrpSpPr/>
      </xdr:nvGrpSpPr>
      <xdr:grpSpPr>
        <a:xfrm>
          <a:off x="5781675" y="95735775"/>
          <a:ext cx="381000" cy="381000"/>
          <a:chOff x="0" y="0"/>
          <a:chExt cx="381000" cy="381000"/>
        </a:xfrm>
      </xdr:grpSpPr>
      <xdr:grpSp>
        <xdr:nvGrpSpPr>
          <xdr:cNvPr id="15733" name="BC$Y$497#GR">
            <a:extLst>
              <a:ext uri="{FF2B5EF4-FFF2-40B4-BE49-F238E27FC236}">
                <a16:creationId xmlns:a16="http://schemas.microsoft.com/office/drawing/2014/main" id="{1B43A7F1-CDB6-43B5-82C3-77D8D1C09D81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5731" name="BC$Y$497#GR">
              <a:extLst>
                <a:ext uri="{FF2B5EF4-FFF2-40B4-BE49-F238E27FC236}">
                  <a16:creationId xmlns:a16="http://schemas.microsoft.com/office/drawing/2014/main" id="{A4083E16-8F8D-4864-AC1F-81FA9B259627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5729" name="BC$Y$497#GR">
                <a:extLst>
                  <a:ext uri="{FF2B5EF4-FFF2-40B4-BE49-F238E27FC236}">
                    <a16:creationId xmlns:a16="http://schemas.microsoft.com/office/drawing/2014/main" id="{A9201DCD-F969-4B0A-BDB8-361B8737E5C5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5727" name="BC$Y$497#GR">
                  <a:extLst>
                    <a:ext uri="{FF2B5EF4-FFF2-40B4-BE49-F238E27FC236}">
                      <a16:creationId xmlns:a16="http://schemas.microsoft.com/office/drawing/2014/main" id="{14165745-3D0A-4A6B-B609-C1DD9C9335CF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5725" name="BC$Y$497#GR">
                    <a:extLst>
                      <a:ext uri="{FF2B5EF4-FFF2-40B4-BE49-F238E27FC236}">
                        <a16:creationId xmlns:a16="http://schemas.microsoft.com/office/drawing/2014/main" id="{02B09D71-CEC9-4FB1-80AB-1222E08DAAFC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5723" name="BC$Y$497#GR">
                      <a:extLst>
                        <a:ext uri="{FF2B5EF4-FFF2-40B4-BE49-F238E27FC236}">
                          <a16:creationId xmlns:a16="http://schemas.microsoft.com/office/drawing/2014/main" id="{ECB02CE3-B0FE-4C61-B44C-9ABA629EFE6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5721" name="BC$Y$497#GR">
                        <a:extLst>
                          <a:ext uri="{FF2B5EF4-FFF2-40B4-BE49-F238E27FC236}">
                            <a16:creationId xmlns:a16="http://schemas.microsoft.com/office/drawing/2014/main" id="{7DD35D4C-43E9-4773-BF77-936D461BE97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5719" name="BC$Y$497#GR">
                          <a:extLst>
                            <a:ext uri="{FF2B5EF4-FFF2-40B4-BE49-F238E27FC236}">
                              <a16:creationId xmlns:a16="http://schemas.microsoft.com/office/drawing/2014/main" id="{93B3E076-D070-43A7-B352-098D6D465F4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5717" name="BC$Y$497#GR">
                            <a:extLst>
                              <a:ext uri="{FF2B5EF4-FFF2-40B4-BE49-F238E27FC236}">
                                <a16:creationId xmlns:a16="http://schemas.microsoft.com/office/drawing/2014/main" id="{A339E7AC-5273-4686-88D3-9336BD33464C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5715" name="BC$Y$497#GR">
                              <a:extLst>
                                <a:ext uri="{FF2B5EF4-FFF2-40B4-BE49-F238E27FC236}">
                                  <a16:creationId xmlns:a16="http://schemas.microsoft.com/office/drawing/2014/main" id="{B6864BA4-511B-48D2-96E6-4FA070EB685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5713" name="BC$Y$497#GR">
                                <a:extLst>
                                  <a:ext uri="{FF2B5EF4-FFF2-40B4-BE49-F238E27FC236}">
                                    <a16:creationId xmlns:a16="http://schemas.microsoft.com/office/drawing/2014/main" id="{00D508F7-4D9C-4FEF-9FC1-803C459CBC46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5711" name="BC$Y$497#GR">
                                  <a:extLst>
                                    <a:ext uri="{FF2B5EF4-FFF2-40B4-BE49-F238E27FC236}">
                                      <a16:creationId xmlns:a16="http://schemas.microsoft.com/office/drawing/2014/main" id="{64D33B14-D61B-488A-921D-AA585406452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5709" name="BC$Y$497#GR">
                                    <a:extLst>
                                      <a:ext uri="{FF2B5EF4-FFF2-40B4-BE49-F238E27FC236}">
                                        <a16:creationId xmlns:a16="http://schemas.microsoft.com/office/drawing/2014/main" id="{42B42CE6-7FA4-4112-926F-59EB0D08EF5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5707" name="BC$Y$497#GR">
                                      <a:extLst>
                                        <a:ext uri="{FF2B5EF4-FFF2-40B4-BE49-F238E27FC236}">
                                          <a16:creationId xmlns:a16="http://schemas.microsoft.com/office/drawing/2014/main" id="{A5B41BC4-B762-4317-8979-02C958C9F10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5705" name="BC$Y$497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F3865EF-3A19-4B89-BD85-5F9ED4FAB2A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5703" name="BC$Y$497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CF6AD19-D58B-4DC4-96C1-219D7EBF898A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5701" name="BC$Y$497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ECDD1B47-0886-4748-880F-4B0B251C9BA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5699" name="BC$Y$497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3B9F0AF-0D4A-412C-909D-3C1FC078BF8A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5697" name="BC$Y$497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2495200-0AD5-41D5-A064-55BAD432C39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5695" name="BC$Y$497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D09FD10-10BF-4D13-89E9-75685066945D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5693" name="BC$Y$497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31E0D57-B75E-49E9-9E0E-8DD2940CBC2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5691" name="BC$Y$497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DB2150C-D6E8-4594-B828-BB2D5AFAC18B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5689" name="BC$Y$497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C02FB29-97A4-46FC-8D70-F4873427583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5687" name="BC$Y$497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75CA4D2-4767-4CDF-A4D8-342AC7C4931B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5685" name="BC$Y$497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A8336F9-54AA-4050-AD5D-3D6EAAEBA1E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5683" name="BC$Y$497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68588BA-814B-4080-B45E-A693A4134C3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5681" name="BC$Y$497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11F4832E-4C86-4CD9-95D9-FE9F756576C1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5679" name="BC$Y$497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783B1C2-09EE-4D1D-8AB4-D5A61AB243C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5677" name="BC$Y$497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B96DCB6-AD0A-4978-850B-60D0D673E44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5675" name="BC$Y$497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D855C5A-A700-4D39-B135-71001A11D64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5673" name="BC$Y$497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477A647-6035-4B0D-B756-3EEC4968E2A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5671" name="BC$Y$497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C5161BC-057D-41A4-A99F-672C4B49344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5669" name="BC$Y$497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9F73F5F-9A4E-4828-885C-9E232FA0B48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5667" name="BC$Y$497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C05459B-A8BF-4C56-9583-C5BF1454D7D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5665" name="BC$Y$497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EF4BFD5-C1AC-4D23-97A6-39CAF6D78B31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5663" name="BC$Y$497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42715D8-E2B4-4251-8D26-59DFB0C5D1B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661" name="BC$Y$497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21B3659-3129-45D4-920C-5300D872699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662" name="BC$Y$497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7097AA6-BB51-4109-82EB-FFCD15E01DE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5664" name="BC$Y$497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C6289A26-A687-49DD-9A21-F38F5E7DC72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5666" name="BC$Y$497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09AB509-1266-4805-9511-A2FD2A12AA3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5668" name="BC$Y$497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2221DA6-C4D4-436F-9187-79CF0BBBBA0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670" name="BC$Y$497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522E586-C5C4-4E99-9889-98AE0E1B9F4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5672" name="BC$Y$497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BE9F949-930A-4821-ACB2-8A25E267469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5674" name="BC$Y$497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0E4B7138-1436-4155-AD90-8075AA5B469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5676" name="BC$Y$497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1308A46-FE88-4FE2-B227-68C6CF4CF60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5678" name="BC$Y$497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9049DF6-9C74-469E-8F04-C95E6957FB9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5680" name="BC$Y$497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C5E52625-D091-4EB2-A02E-0FD9869532B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5682" name="BC$Y$497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AEEA93A-0C75-449B-936D-F77C369FC71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5684" name="BC$Y$497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377E41F-8197-4562-B6B9-FA71DCB1B50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5686" name="BC$Y$497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117ECD3-CAC1-4422-A062-6776E9044D4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5688" name="BC$Y$497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8489898-F83E-4CEC-AB4F-7AB50594565E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5690" name="BC$Y$497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BB67A4A-82FC-4336-AF81-538835909AF9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5692" name="BC$Y$497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ED176BC-A797-4081-B537-E408BAD8530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5694" name="BC$Y$497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D3F664C-C083-41FB-B623-A12A1332A6F3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696" name="BC$Y$497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A8F6EE9-04BF-4B58-BAE2-50766BE49FAD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5698" name="BC$Y$497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AE52D3C-287F-43D5-A1CA-EE3A36623B1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5700" name="BC$Y$497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FD10EBA-3B26-4942-95DF-290447202EA4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5702" name="BC$Y$497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78682AF9-E694-4697-B09C-9DC7235DEB9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5704" name="BC$Y$497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5EA540E-6B89-4F09-8443-6942B89AEC6F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5706" name="BC$Y$497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E6F6A7E-89D8-485A-9C39-EEC9D776003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5708" name="BC$Y$497#BR24">
                                      <a:extLst>
                                        <a:ext uri="{FF2B5EF4-FFF2-40B4-BE49-F238E27FC236}">
                                          <a16:creationId xmlns:a16="http://schemas.microsoft.com/office/drawing/2014/main" id="{3A76CE4D-D527-4CCF-976B-681F1C9DA8E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5710" name="BC$Y$497#BR25">
                                    <a:extLst>
                                      <a:ext uri="{FF2B5EF4-FFF2-40B4-BE49-F238E27FC236}">
                                        <a16:creationId xmlns:a16="http://schemas.microsoft.com/office/drawing/2014/main" id="{484043E4-CAA5-4708-A969-7999E75637AB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5712" name="BC$Y$497#BR26">
                                  <a:extLst>
                                    <a:ext uri="{FF2B5EF4-FFF2-40B4-BE49-F238E27FC236}">
                                      <a16:creationId xmlns:a16="http://schemas.microsoft.com/office/drawing/2014/main" id="{C6F05272-44DD-4757-AC5C-CEA7F9AAA62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5714" name="BC$Y$497#BR27">
                                <a:extLst>
                                  <a:ext uri="{FF2B5EF4-FFF2-40B4-BE49-F238E27FC236}">
                                    <a16:creationId xmlns:a16="http://schemas.microsoft.com/office/drawing/2014/main" id="{CC36546E-ECDA-4BF4-A8D7-D008CB656D1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5716" name="BC$Y$497#BR28">
                              <a:extLst>
                                <a:ext uri="{FF2B5EF4-FFF2-40B4-BE49-F238E27FC236}">
                                  <a16:creationId xmlns:a16="http://schemas.microsoft.com/office/drawing/2014/main" id="{2734AB3D-9C93-4928-A807-53AE28B6D26A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5718" name="BC$Y$497#BR29">
                            <a:extLst>
                              <a:ext uri="{FF2B5EF4-FFF2-40B4-BE49-F238E27FC236}">
                                <a16:creationId xmlns:a16="http://schemas.microsoft.com/office/drawing/2014/main" id="{89D5F44B-3FF6-4C61-A110-39C8DBE3856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5720" name="BC$Y$497#BR30">
                          <a:extLst>
                            <a:ext uri="{FF2B5EF4-FFF2-40B4-BE49-F238E27FC236}">
                              <a16:creationId xmlns:a16="http://schemas.microsoft.com/office/drawing/2014/main" id="{CCD10582-44FF-4802-B33E-37189EF1955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5722" name="BC$Y$497#BR31">
                        <a:extLst>
                          <a:ext uri="{FF2B5EF4-FFF2-40B4-BE49-F238E27FC236}">
                            <a16:creationId xmlns:a16="http://schemas.microsoft.com/office/drawing/2014/main" id="{8952C235-A600-403A-8F9C-0D30FEA762E3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5724" name="BC$Y$497#BR32">
                      <a:extLst>
                        <a:ext uri="{FF2B5EF4-FFF2-40B4-BE49-F238E27FC236}">
                          <a16:creationId xmlns:a16="http://schemas.microsoft.com/office/drawing/2014/main" id="{0CC12354-85AB-4154-86E8-1FE6EDC11636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5726" name="BC$Y$497#BR33">
                    <a:extLst>
                      <a:ext uri="{FF2B5EF4-FFF2-40B4-BE49-F238E27FC236}">
                        <a16:creationId xmlns:a16="http://schemas.microsoft.com/office/drawing/2014/main" id="{6EAAFE3E-F4B5-425C-B33A-0E6DB4A46FC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5728" name="BC$Y$497#BR34">
                  <a:extLst>
                    <a:ext uri="{FF2B5EF4-FFF2-40B4-BE49-F238E27FC236}">
                      <a16:creationId xmlns:a16="http://schemas.microsoft.com/office/drawing/2014/main" id="{A5C36CA3-71B0-4369-803A-D9B88980AB47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5730" name="BC$Y$497#BR35">
                <a:extLst>
                  <a:ext uri="{FF2B5EF4-FFF2-40B4-BE49-F238E27FC236}">
                    <a16:creationId xmlns:a16="http://schemas.microsoft.com/office/drawing/2014/main" id="{7C244BF7-0FB0-4FD9-9857-3986520BA80A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5732" name="BC$Y$497#BR36">
              <a:extLst>
                <a:ext uri="{FF2B5EF4-FFF2-40B4-BE49-F238E27FC236}">
                  <a16:creationId xmlns:a16="http://schemas.microsoft.com/office/drawing/2014/main" id="{EB5BFEC0-0869-4181-8442-3C3605167F30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5734" name="BC$Y$497#BR37">
            <a:extLst>
              <a:ext uri="{FF2B5EF4-FFF2-40B4-BE49-F238E27FC236}">
                <a16:creationId xmlns:a16="http://schemas.microsoft.com/office/drawing/2014/main" id="{88D9F920-2256-4652-B90A-4530A19AB0CF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513</xdr:row>
      <xdr:rowOff>180975</xdr:rowOff>
    </xdr:from>
    <xdr:to>
      <xdr:col>13</xdr:col>
      <xdr:colOff>200025</xdr:colOff>
      <xdr:row>515</xdr:row>
      <xdr:rowOff>180975</xdr:rowOff>
    </xdr:to>
    <xdr:grpSp>
      <xdr:nvGrpSpPr>
        <xdr:cNvPr id="15810" name="BC$K$508#GR">
          <a:extLst>
            <a:ext uri="{FF2B5EF4-FFF2-40B4-BE49-F238E27FC236}">
              <a16:creationId xmlns:a16="http://schemas.microsoft.com/office/drawing/2014/main" id="{51D0FBC2-D947-4376-8536-0EC25EE10524}"/>
            </a:ext>
          </a:extLst>
        </xdr:cNvPr>
        <xdr:cNvGrpSpPr/>
      </xdr:nvGrpSpPr>
      <xdr:grpSpPr>
        <a:xfrm>
          <a:off x="2667000" y="97812225"/>
          <a:ext cx="381000" cy="381000"/>
          <a:chOff x="0" y="0"/>
          <a:chExt cx="381000" cy="381000"/>
        </a:xfrm>
      </xdr:grpSpPr>
      <xdr:grpSp>
        <xdr:nvGrpSpPr>
          <xdr:cNvPr id="15808" name="BC$K$508#GR">
            <a:extLst>
              <a:ext uri="{FF2B5EF4-FFF2-40B4-BE49-F238E27FC236}">
                <a16:creationId xmlns:a16="http://schemas.microsoft.com/office/drawing/2014/main" id="{907705A0-40CF-43C4-9958-5591B2732A16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5806" name="BC$K$508#GR">
              <a:extLst>
                <a:ext uri="{FF2B5EF4-FFF2-40B4-BE49-F238E27FC236}">
                  <a16:creationId xmlns:a16="http://schemas.microsoft.com/office/drawing/2014/main" id="{18EFBFB3-720F-4248-BD90-010E434E2AC3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5804" name="BC$K$508#GR">
                <a:extLst>
                  <a:ext uri="{FF2B5EF4-FFF2-40B4-BE49-F238E27FC236}">
                    <a16:creationId xmlns:a16="http://schemas.microsoft.com/office/drawing/2014/main" id="{5BE111E2-DEE1-400E-9899-60BCC0926EB8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5802" name="BC$K$508#GR">
                  <a:extLst>
                    <a:ext uri="{FF2B5EF4-FFF2-40B4-BE49-F238E27FC236}">
                      <a16:creationId xmlns:a16="http://schemas.microsoft.com/office/drawing/2014/main" id="{A2048AE0-6229-4FA8-9E5C-8E1CCD9F742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5800" name="BC$K$508#GR">
                    <a:extLst>
                      <a:ext uri="{FF2B5EF4-FFF2-40B4-BE49-F238E27FC236}">
                        <a16:creationId xmlns:a16="http://schemas.microsoft.com/office/drawing/2014/main" id="{3AACF377-4650-4E4D-A355-320DCA0A6F6A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5798" name="BC$K$508#GR">
                      <a:extLst>
                        <a:ext uri="{FF2B5EF4-FFF2-40B4-BE49-F238E27FC236}">
                          <a16:creationId xmlns:a16="http://schemas.microsoft.com/office/drawing/2014/main" id="{A9526836-6FC0-4FDF-A3BC-F3CEF1F7E37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5796" name="BC$K$508#GR">
                        <a:extLst>
                          <a:ext uri="{FF2B5EF4-FFF2-40B4-BE49-F238E27FC236}">
                            <a16:creationId xmlns:a16="http://schemas.microsoft.com/office/drawing/2014/main" id="{F20528A5-F292-41D9-A3C9-9242B35FA28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5794" name="BC$K$508#GR">
                          <a:extLst>
                            <a:ext uri="{FF2B5EF4-FFF2-40B4-BE49-F238E27FC236}">
                              <a16:creationId xmlns:a16="http://schemas.microsoft.com/office/drawing/2014/main" id="{A681C8AA-474B-4645-9A93-D2FF07E6B51C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5792" name="BC$K$508#GR">
                            <a:extLst>
                              <a:ext uri="{FF2B5EF4-FFF2-40B4-BE49-F238E27FC236}">
                                <a16:creationId xmlns:a16="http://schemas.microsoft.com/office/drawing/2014/main" id="{416427B2-65AD-46EC-91EC-C094A29B99CD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5790" name="BC$K$508#GR">
                              <a:extLst>
                                <a:ext uri="{FF2B5EF4-FFF2-40B4-BE49-F238E27FC236}">
                                  <a16:creationId xmlns:a16="http://schemas.microsoft.com/office/drawing/2014/main" id="{7717AEAC-E027-4FD5-953E-9C6CBAF943C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5788" name="BC$K$508#GR">
                                <a:extLst>
                                  <a:ext uri="{FF2B5EF4-FFF2-40B4-BE49-F238E27FC236}">
                                    <a16:creationId xmlns:a16="http://schemas.microsoft.com/office/drawing/2014/main" id="{14B45D93-E921-40D3-9B15-B3A3A9AA84AD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5786" name="BC$K$508#GR">
                                  <a:extLst>
                                    <a:ext uri="{FF2B5EF4-FFF2-40B4-BE49-F238E27FC236}">
                                      <a16:creationId xmlns:a16="http://schemas.microsoft.com/office/drawing/2014/main" id="{709DDCF5-3E72-43AB-B6DF-0BAA98DD39FD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5784" name="BC$K$508#GR">
                                    <a:extLst>
                                      <a:ext uri="{FF2B5EF4-FFF2-40B4-BE49-F238E27FC236}">
                                        <a16:creationId xmlns:a16="http://schemas.microsoft.com/office/drawing/2014/main" id="{8EF071BB-2F19-4BCF-99AC-DB11A32AD32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5782" name="BC$K$508#GR">
                                      <a:extLst>
                                        <a:ext uri="{FF2B5EF4-FFF2-40B4-BE49-F238E27FC236}">
                                          <a16:creationId xmlns:a16="http://schemas.microsoft.com/office/drawing/2014/main" id="{D31483A3-6621-478F-86F4-557D7E56C36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5780" name="BC$K$50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E8D79FC-D91A-4967-AC37-921E5792571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5778" name="BC$K$50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A17E6560-C67E-49CF-95A6-3B8180227A38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5776" name="BC$K$50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AC61F1C-47D7-4D65-9207-CDC197DF0AA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5774" name="BC$K$50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77330703-8AEB-4037-BC45-6E126F0B788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5772" name="BC$K$50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A73876E-B862-4642-B5B3-108A87AD60F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5770" name="BC$K$50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B37D1C77-E15A-499A-A6B7-19C005434E4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5768" name="BC$K$50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F9505D8-EDF5-4BED-BBA8-3C2028BD3794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5766" name="BC$K$50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0343C99-C265-483D-B65A-A35A0462F8A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5764" name="BC$K$50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D657384-F54E-4F14-88D9-AC43CE4F0EBA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5762" name="BC$K$50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0B6ACCF-C39B-42BE-80C1-DF97DC61431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5760" name="BC$K$50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CC1159B-943C-49B9-B7CA-BFB6A8C6F08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5758" name="BC$K$50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6888B01-9853-4744-9597-DA7798A3A42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5756" name="BC$K$50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60759CB-C18F-49E5-B71F-3CF6803E3B9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5754" name="BC$K$50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0627914-9799-4198-93F6-6FFF80FAAFC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5752" name="BC$K$50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22100BE-DDEC-471E-BADA-95A2CEDC523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5750" name="BC$K$50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C6111885-3403-4A00-9584-1C6D6DCC61F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5748" name="BC$K$50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B47A52F-BAD5-4510-9D08-3CF1BD93AFF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5746" name="BC$K$50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65B6BD5-37A9-4D16-8676-C3E22A62A79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5744" name="BC$K$50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AAA8CA9-FA3B-40F0-B544-E65F73B3AF7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5742" name="BC$K$50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773E7CF-7F27-4584-AD55-50A1C0E4EBA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5740" name="BC$K$50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CC321D6-55EC-465C-8173-6BEE9ABDFA3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5738" name="BC$K$50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DCB1203-AA8A-44D4-9C4A-8C92EE7FFD3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736" name="BC$K$508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B7EF39B-D87A-4F5F-A327-3D59F0EDAF5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737" name="BC$K$508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3558388-3013-464C-9446-9B3B79A467F3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5739" name="BC$K$508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331B5AE-8AD4-4638-844D-9AEEF42A427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5741" name="BC$K$508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DFCBBA1-DDBA-4BD2-914A-BF9C7D7EFCB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5743" name="BC$K$508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FC2C49F-4CBD-4CFB-A4BE-21043F2AEAC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745" name="BC$K$508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22D117B-EB9E-4E76-950B-CF9A04FFFAE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5747" name="BC$K$508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9B5D14E-E802-41B7-BE4C-097882D06A4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5749" name="BC$K$508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90CA1AB-9166-4893-BC4C-95E81FD3F930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5751" name="BC$K$508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BD3B1FB-3061-49FE-B11E-7EA09F2B2D4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5753" name="BC$K$508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EEE4495-4AA2-48C9-AA9F-8191A45BFBF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5755" name="BC$K$508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445D975-47B0-4AE6-BD7F-335BFBAF4CB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5757" name="BC$K$508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D82BB48-DC31-4A1C-A320-11CE0A6259E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5759" name="BC$K$508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1D30AF3-FF35-4F13-BB00-60A94D193BA5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5761" name="BC$K$508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F5C8363-70AE-4D95-AE36-21270EF2FAF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5763" name="BC$K$508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74BDDA7-98A8-4771-BB84-0B6676DF2F7E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5765" name="BC$K$508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167CFC5B-80CD-4C34-94F0-477B33E3B47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5767" name="BC$K$508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6DD0886-B0BB-46BC-B31D-A4C35C11BC8A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5769" name="BC$K$508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34D9C3D3-F31D-4D38-8F6E-8A0C8746D715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771" name="BC$K$508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0607153-E466-41F0-A0AA-55DBC7D5E9C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5773" name="BC$K$508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5965910-0F47-4C16-8E31-299FADDA5BB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5775" name="BC$K$508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91DBEE2D-93D2-4283-A2D2-5651289C2FA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5777" name="BC$K$508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469B2F6-FD21-42A3-88C4-0E0F1483D4BB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5779" name="BC$K$508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2252EFDE-0A4E-47BA-820F-66C519BF11E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5781" name="BC$K$508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6953A7A8-E64E-4422-AC35-B2AE45EFB87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5783" name="BC$K$508#BR24">
                                      <a:extLst>
                                        <a:ext uri="{FF2B5EF4-FFF2-40B4-BE49-F238E27FC236}">
                                          <a16:creationId xmlns:a16="http://schemas.microsoft.com/office/drawing/2014/main" id="{B28A1BEA-4BBF-4111-B5AD-0B59E1C2DAA9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5785" name="BC$K$508#BR25">
                                    <a:extLst>
                                      <a:ext uri="{FF2B5EF4-FFF2-40B4-BE49-F238E27FC236}">
                                        <a16:creationId xmlns:a16="http://schemas.microsoft.com/office/drawing/2014/main" id="{EA3D5EDE-079D-484A-93CE-5D87FA77F6F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5787" name="BC$K$508#BR26">
                                  <a:extLst>
                                    <a:ext uri="{FF2B5EF4-FFF2-40B4-BE49-F238E27FC236}">
                                      <a16:creationId xmlns:a16="http://schemas.microsoft.com/office/drawing/2014/main" id="{08EA0601-FC1D-4948-AB87-3ECD53755E8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5789" name="BC$K$508#BR27">
                                <a:extLst>
                                  <a:ext uri="{FF2B5EF4-FFF2-40B4-BE49-F238E27FC236}">
                                    <a16:creationId xmlns:a16="http://schemas.microsoft.com/office/drawing/2014/main" id="{A6728974-B894-4773-90CB-FDE47D71455B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5791" name="BC$K$508#BR28">
                              <a:extLst>
                                <a:ext uri="{FF2B5EF4-FFF2-40B4-BE49-F238E27FC236}">
                                  <a16:creationId xmlns:a16="http://schemas.microsoft.com/office/drawing/2014/main" id="{BF291B41-77DD-4EBE-AAE2-67FC2DD799D1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5793" name="BC$K$508#BR29">
                            <a:extLst>
                              <a:ext uri="{FF2B5EF4-FFF2-40B4-BE49-F238E27FC236}">
                                <a16:creationId xmlns:a16="http://schemas.microsoft.com/office/drawing/2014/main" id="{2853D435-A2A4-4DA6-8454-D49887452448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5795" name="BC$K$508#BR30">
                          <a:extLst>
                            <a:ext uri="{FF2B5EF4-FFF2-40B4-BE49-F238E27FC236}">
                              <a16:creationId xmlns:a16="http://schemas.microsoft.com/office/drawing/2014/main" id="{E616F041-1E33-4DA5-9F1A-8532D6C5F71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5797" name="BC$K$508#BR31">
                        <a:extLst>
                          <a:ext uri="{FF2B5EF4-FFF2-40B4-BE49-F238E27FC236}">
                            <a16:creationId xmlns:a16="http://schemas.microsoft.com/office/drawing/2014/main" id="{0471A162-4143-4CF2-9936-23FB597BDB28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5799" name="BC$K$508#BR32">
                      <a:extLst>
                        <a:ext uri="{FF2B5EF4-FFF2-40B4-BE49-F238E27FC236}">
                          <a16:creationId xmlns:a16="http://schemas.microsoft.com/office/drawing/2014/main" id="{7901E9FC-2F10-4897-B685-77F5C46CBD2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5801" name="BC$K$508#BR33">
                    <a:extLst>
                      <a:ext uri="{FF2B5EF4-FFF2-40B4-BE49-F238E27FC236}">
                        <a16:creationId xmlns:a16="http://schemas.microsoft.com/office/drawing/2014/main" id="{36534BBB-4523-42F0-80AF-358B7E2F831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5803" name="BC$K$508#BR34">
                  <a:extLst>
                    <a:ext uri="{FF2B5EF4-FFF2-40B4-BE49-F238E27FC236}">
                      <a16:creationId xmlns:a16="http://schemas.microsoft.com/office/drawing/2014/main" id="{AF2FBDFE-5A6F-46D0-94E4-CACDD294DAE4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5805" name="BC$K$508#BR35">
                <a:extLst>
                  <a:ext uri="{FF2B5EF4-FFF2-40B4-BE49-F238E27FC236}">
                    <a16:creationId xmlns:a16="http://schemas.microsoft.com/office/drawing/2014/main" id="{696B731C-9E00-4AB9-B0E9-812D0CC22EAB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5807" name="BC$K$508#BR36">
              <a:extLst>
                <a:ext uri="{FF2B5EF4-FFF2-40B4-BE49-F238E27FC236}">
                  <a16:creationId xmlns:a16="http://schemas.microsoft.com/office/drawing/2014/main" id="{A21172AC-245B-4963-8BC8-AC39C2E5B20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5809" name="BC$K$508#BR37">
            <a:extLst>
              <a:ext uri="{FF2B5EF4-FFF2-40B4-BE49-F238E27FC236}">
                <a16:creationId xmlns:a16="http://schemas.microsoft.com/office/drawing/2014/main" id="{C3240B31-A371-40D7-889C-F1ADCD08EA31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514</xdr:row>
      <xdr:rowOff>0</xdr:rowOff>
    </xdr:from>
    <xdr:to>
      <xdr:col>27</xdr:col>
      <xdr:colOff>200025</xdr:colOff>
      <xdr:row>516</xdr:row>
      <xdr:rowOff>0</xdr:rowOff>
    </xdr:to>
    <xdr:grpSp>
      <xdr:nvGrpSpPr>
        <xdr:cNvPr id="15885" name="BC$Y$508#GR">
          <a:extLst>
            <a:ext uri="{FF2B5EF4-FFF2-40B4-BE49-F238E27FC236}">
              <a16:creationId xmlns:a16="http://schemas.microsoft.com/office/drawing/2014/main" id="{C716ADC5-3E25-430E-B75E-8D8FA64B2F34}"/>
            </a:ext>
          </a:extLst>
        </xdr:cNvPr>
        <xdr:cNvGrpSpPr/>
      </xdr:nvGrpSpPr>
      <xdr:grpSpPr>
        <a:xfrm>
          <a:off x="5781675" y="97821750"/>
          <a:ext cx="381000" cy="381000"/>
          <a:chOff x="0" y="0"/>
          <a:chExt cx="381000" cy="381000"/>
        </a:xfrm>
      </xdr:grpSpPr>
      <xdr:grpSp>
        <xdr:nvGrpSpPr>
          <xdr:cNvPr id="15883" name="BC$Y$508#GR">
            <a:extLst>
              <a:ext uri="{FF2B5EF4-FFF2-40B4-BE49-F238E27FC236}">
                <a16:creationId xmlns:a16="http://schemas.microsoft.com/office/drawing/2014/main" id="{0786DD2A-200B-4FD2-9A07-CAA4DF950CB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5881" name="BC$Y$508#GR">
              <a:extLst>
                <a:ext uri="{FF2B5EF4-FFF2-40B4-BE49-F238E27FC236}">
                  <a16:creationId xmlns:a16="http://schemas.microsoft.com/office/drawing/2014/main" id="{5E6F3134-0DA8-4DA4-8EEB-354EE00B1841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5879" name="BC$Y$508#GR">
                <a:extLst>
                  <a:ext uri="{FF2B5EF4-FFF2-40B4-BE49-F238E27FC236}">
                    <a16:creationId xmlns:a16="http://schemas.microsoft.com/office/drawing/2014/main" id="{DB9D068C-CF16-4163-BAD9-A99D6DAEA07E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5877" name="BC$Y$508#GR">
                  <a:extLst>
                    <a:ext uri="{FF2B5EF4-FFF2-40B4-BE49-F238E27FC236}">
                      <a16:creationId xmlns:a16="http://schemas.microsoft.com/office/drawing/2014/main" id="{0AE8D312-98AD-47CF-94D8-BD16242D819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5875" name="BC$Y$508#GR">
                    <a:extLst>
                      <a:ext uri="{FF2B5EF4-FFF2-40B4-BE49-F238E27FC236}">
                        <a16:creationId xmlns:a16="http://schemas.microsoft.com/office/drawing/2014/main" id="{0845162C-31EE-41B6-B0F6-9355BE97387E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5873" name="BC$Y$508#GR">
                      <a:extLst>
                        <a:ext uri="{FF2B5EF4-FFF2-40B4-BE49-F238E27FC236}">
                          <a16:creationId xmlns:a16="http://schemas.microsoft.com/office/drawing/2014/main" id="{E0DA93AB-C486-4B80-8885-E78ADCE77A47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5871" name="BC$Y$508#GR">
                        <a:extLst>
                          <a:ext uri="{FF2B5EF4-FFF2-40B4-BE49-F238E27FC236}">
                            <a16:creationId xmlns:a16="http://schemas.microsoft.com/office/drawing/2014/main" id="{87D512E6-0019-4C89-8CA9-787501FB2C7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5869" name="BC$Y$508#GR">
                          <a:extLst>
                            <a:ext uri="{FF2B5EF4-FFF2-40B4-BE49-F238E27FC236}">
                              <a16:creationId xmlns:a16="http://schemas.microsoft.com/office/drawing/2014/main" id="{439C119E-B25F-4D8D-A57F-12777F53FFF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5867" name="BC$Y$508#GR">
                            <a:extLst>
                              <a:ext uri="{FF2B5EF4-FFF2-40B4-BE49-F238E27FC236}">
                                <a16:creationId xmlns:a16="http://schemas.microsoft.com/office/drawing/2014/main" id="{63EDE8E9-E914-440D-9E6F-711C4FC3D481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5865" name="BC$Y$508#GR">
                              <a:extLst>
                                <a:ext uri="{FF2B5EF4-FFF2-40B4-BE49-F238E27FC236}">
                                  <a16:creationId xmlns:a16="http://schemas.microsoft.com/office/drawing/2014/main" id="{B22593D5-E2DA-495F-B0D6-7ADB7EC5C5A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5863" name="BC$Y$508#GR">
                                <a:extLst>
                                  <a:ext uri="{FF2B5EF4-FFF2-40B4-BE49-F238E27FC236}">
                                    <a16:creationId xmlns:a16="http://schemas.microsoft.com/office/drawing/2014/main" id="{96FA1B95-5123-4FE7-9581-801C2FE3168A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5861" name="BC$Y$508#GR">
                                  <a:extLst>
                                    <a:ext uri="{FF2B5EF4-FFF2-40B4-BE49-F238E27FC236}">
                                      <a16:creationId xmlns:a16="http://schemas.microsoft.com/office/drawing/2014/main" id="{1521DD7A-D2AC-46B3-9643-653D9B5C3438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5859" name="BC$Y$508#GR">
                                    <a:extLst>
                                      <a:ext uri="{FF2B5EF4-FFF2-40B4-BE49-F238E27FC236}">
                                        <a16:creationId xmlns:a16="http://schemas.microsoft.com/office/drawing/2014/main" id="{7ED2CCA3-3725-4F36-8B5D-F9D2A9BF121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5857" name="BC$Y$508#GR">
                                      <a:extLst>
                                        <a:ext uri="{FF2B5EF4-FFF2-40B4-BE49-F238E27FC236}">
                                          <a16:creationId xmlns:a16="http://schemas.microsoft.com/office/drawing/2014/main" id="{031B8862-4EFC-4D3A-8543-C8B45ED13F08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5855" name="BC$Y$508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251203D-8CCE-4636-BE90-F7E49E1FC4AC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5853" name="BC$Y$508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EAE55A2-7E9A-44BE-BB76-F15CD01F3A9D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5851" name="BC$Y$508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8EE14E7-212B-42A3-A695-BA4650112EA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5849" name="BC$Y$508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57ED5FE-FA8F-4FC9-AFBA-E70673F3AB1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5847" name="BC$Y$508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9116C35-63B3-4C3A-99FD-422ACDBE2592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5845" name="BC$Y$508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83E8E67-7256-4150-9EF1-D4CA4CBCF342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5843" name="BC$Y$508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5D3F825-66DB-4D91-8BBB-E5D690294807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5841" name="BC$Y$508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499A8EB-376E-42A8-99AC-E951F759DF73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5839" name="BC$Y$508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5697D0B-42C5-4158-86AC-352DC50D49BD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5837" name="BC$Y$508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2CADE769-C416-467A-9D54-37F0AEC3F6B2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5835" name="BC$Y$508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E06DDF3-AB25-4017-8BA6-6F081A4108B9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5833" name="BC$Y$508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5EA14640-EC5B-40C8-BC5C-03B6C708B42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5831" name="BC$Y$508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79DC55C-3372-4071-9026-E712388152F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5829" name="BC$Y$508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79274A2-8879-4855-9177-48F0F5C449A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5827" name="BC$Y$508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334F4F0-438D-40FE-BFBB-647E5CAB4D9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5825" name="BC$Y$508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E993675-0E3B-45A2-A749-25A5894373A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5823" name="BC$Y$508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FF5FF42-82A0-454D-9F1C-43D8256AF9D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5821" name="BC$Y$508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8E59548-5389-49D6-8188-2F20439A542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5819" name="BC$Y$508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95AC076-BC05-4148-A76F-DF8EEB6DD2B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5817" name="BC$Y$508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976AA89-239B-4B82-8BEF-86292BD1C44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5815" name="BC$Y$508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5B31A2A-82C2-4135-A9EF-320E8B76E20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5813" name="BC$Y$508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CC54E22-0AE6-41F7-A875-5C8C1313C66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811" name="BC$Y$508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1ADD585-DA14-4D45-BEFB-7E3C6A82684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812" name="BC$Y$508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0F48A40-C62D-4372-A7B0-48A11489527D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5814" name="BC$Y$508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63C7379-2EE7-4566-93F9-F87A2FD5C35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5816" name="BC$Y$508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1F7CCA8-B011-4FA0-8CFE-7B8F3B079C8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5818" name="BC$Y$508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E1C41608-A251-41EF-8AAB-7B522F1455F7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820" name="BC$Y$508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2E7C0B8-6590-4F9A-B6BC-6DBE9C1E011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5822" name="BC$Y$508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0427D82E-156E-42AF-A89C-E526E51EAE1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5824" name="BC$Y$508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DF04959-9C23-4D20-890F-909A082B254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5826" name="BC$Y$508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5650490-DDFA-419B-9FC7-83828AD0D33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5828" name="BC$Y$508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F04D33B-AE9E-43A0-B49F-9C530B30405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5830" name="BC$Y$508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68F1925-8204-49A5-A9BC-6FF1707D5992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5832" name="BC$Y$508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D4910E3-28E1-47A1-A467-7437130BD39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5834" name="BC$Y$508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FDC49AEC-6A83-4C74-A5E5-AF08527D3A39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5836" name="BC$Y$508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54FBB2A-3F7C-4499-9DD7-63DB787DD893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5838" name="BC$Y$508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FAF9B35-3BE1-4FF4-9FC8-AA6B7188114D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5840" name="BC$Y$508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63376710-1D28-4819-81A1-35074FB1F53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5842" name="BC$Y$508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A282164-AD7F-4655-8A00-11DC640D7F49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5844" name="BC$Y$508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142BB21-6704-4980-9A69-0D625ACC6F77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846" name="BC$Y$508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389DCEE-0BF6-4662-8947-16773169C6CC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5848" name="BC$Y$508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DBCCFE2-5FAA-460A-82F8-D3CBEA9BDB25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5850" name="BC$Y$508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29BFCE8-C963-4C53-9ADB-E22685FDAE36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5852" name="BC$Y$508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5381A8A2-EFBC-41F0-85B4-925F39EA5006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5854" name="BC$Y$508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9A3A63A-9D12-423E-8AEF-10B6B6DFDCBC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5856" name="BC$Y$508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29CB41DE-16C3-4490-BD74-E923131A7A31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5858" name="BC$Y$508#BR24">
                                      <a:extLst>
                                        <a:ext uri="{FF2B5EF4-FFF2-40B4-BE49-F238E27FC236}">
                                          <a16:creationId xmlns:a16="http://schemas.microsoft.com/office/drawing/2014/main" id="{245AA9DB-96A2-479E-8678-C1E41A106DC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5860" name="BC$Y$508#BR25">
                                    <a:extLst>
                                      <a:ext uri="{FF2B5EF4-FFF2-40B4-BE49-F238E27FC236}">
                                        <a16:creationId xmlns:a16="http://schemas.microsoft.com/office/drawing/2014/main" id="{74552A49-44EA-424F-A396-131D53AE48AD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5862" name="BC$Y$508#BR26">
                                  <a:extLst>
                                    <a:ext uri="{FF2B5EF4-FFF2-40B4-BE49-F238E27FC236}">
                                      <a16:creationId xmlns:a16="http://schemas.microsoft.com/office/drawing/2014/main" id="{5B52FC1A-D9BE-48A7-95CA-FF12F37AF0F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5864" name="BC$Y$508#BR27">
                                <a:extLst>
                                  <a:ext uri="{FF2B5EF4-FFF2-40B4-BE49-F238E27FC236}">
                                    <a16:creationId xmlns:a16="http://schemas.microsoft.com/office/drawing/2014/main" id="{C05B6433-AD88-4C19-BC0C-28A68998EF48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5866" name="BC$Y$508#BR28">
                              <a:extLst>
                                <a:ext uri="{FF2B5EF4-FFF2-40B4-BE49-F238E27FC236}">
                                  <a16:creationId xmlns:a16="http://schemas.microsoft.com/office/drawing/2014/main" id="{BF6BDFCF-A9E4-4768-A68D-DFCEAB54660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5868" name="BC$Y$508#BR29">
                            <a:extLst>
                              <a:ext uri="{FF2B5EF4-FFF2-40B4-BE49-F238E27FC236}">
                                <a16:creationId xmlns:a16="http://schemas.microsoft.com/office/drawing/2014/main" id="{DA7EE1FD-B31F-43EE-A315-488F002CD16B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5870" name="BC$Y$508#BR30">
                          <a:extLst>
                            <a:ext uri="{FF2B5EF4-FFF2-40B4-BE49-F238E27FC236}">
                              <a16:creationId xmlns:a16="http://schemas.microsoft.com/office/drawing/2014/main" id="{D4CDB867-A5BB-4602-9DD2-265461647F2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5872" name="BC$Y$508#BR31">
                        <a:extLst>
                          <a:ext uri="{FF2B5EF4-FFF2-40B4-BE49-F238E27FC236}">
                            <a16:creationId xmlns:a16="http://schemas.microsoft.com/office/drawing/2014/main" id="{0890E966-2A8B-43E4-A774-3CAFD968B16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5874" name="BC$Y$508#BR32">
                      <a:extLst>
                        <a:ext uri="{FF2B5EF4-FFF2-40B4-BE49-F238E27FC236}">
                          <a16:creationId xmlns:a16="http://schemas.microsoft.com/office/drawing/2014/main" id="{87305DE3-7ACB-41E6-8723-3595B4DF5A7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5876" name="BC$Y$508#BR33">
                    <a:extLst>
                      <a:ext uri="{FF2B5EF4-FFF2-40B4-BE49-F238E27FC236}">
                        <a16:creationId xmlns:a16="http://schemas.microsoft.com/office/drawing/2014/main" id="{A1A2D2FA-B470-4525-8DDC-241F12256B2F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5878" name="BC$Y$508#BR34">
                  <a:extLst>
                    <a:ext uri="{FF2B5EF4-FFF2-40B4-BE49-F238E27FC236}">
                      <a16:creationId xmlns:a16="http://schemas.microsoft.com/office/drawing/2014/main" id="{EA6A2B78-BA32-4742-ABB4-8EC56CAADC3E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5880" name="BC$Y$508#BR35">
                <a:extLst>
                  <a:ext uri="{FF2B5EF4-FFF2-40B4-BE49-F238E27FC236}">
                    <a16:creationId xmlns:a16="http://schemas.microsoft.com/office/drawing/2014/main" id="{F109BDCE-4D6E-4D9A-8A9D-A177CD6805B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5882" name="BC$Y$508#BR36">
              <a:extLst>
                <a:ext uri="{FF2B5EF4-FFF2-40B4-BE49-F238E27FC236}">
                  <a16:creationId xmlns:a16="http://schemas.microsoft.com/office/drawing/2014/main" id="{A3C27B83-726F-4108-B402-407B18DCADA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5884" name="BC$Y$508#BR37">
            <a:extLst>
              <a:ext uri="{FF2B5EF4-FFF2-40B4-BE49-F238E27FC236}">
                <a16:creationId xmlns:a16="http://schemas.microsoft.com/office/drawing/2014/main" id="{0C70365B-4DC4-42FD-9843-C2F5862975BC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525</xdr:row>
      <xdr:rowOff>19050</xdr:rowOff>
    </xdr:from>
    <xdr:to>
      <xdr:col>13</xdr:col>
      <xdr:colOff>209550</xdr:colOff>
      <xdr:row>527</xdr:row>
      <xdr:rowOff>19050</xdr:rowOff>
    </xdr:to>
    <xdr:grpSp>
      <xdr:nvGrpSpPr>
        <xdr:cNvPr id="15960" name="BC$K$519#GR">
          <a:extLst>
            <a:ext uri="{FF2B5EF4-FFF2-40B4-BE49-F238E27FC236}">
              <a16:creationId xmlns:a16="http://schemas.microsoft.com/office/drawing/2014/main" id="{538DFD46-66DA-49AF-BCEE-234405DFC94A}"/>
            </a:ext>
          </a:extLst>
        </xdr:cNvPr>
        <xdr:cNvGrpSpPr/>
      </xdr:nvGrpSpPr>
      <xdr:grpSpPr>
        <a:xfrm>
          <a:off x="2676525" y="99936300"/>
          <a:ext cx="381000" cy="381000"/>
          <a:chOff x="0" y="0"/>
          <a:chExt cx="381000" cy="381000"/>
        </a:xfrm>
      </xdr:grpSpPr>
      <xdr:grpSp>
        <xdr:nvGrpSpPr>
          <xdr:cNvPr id="15958" name="BC$K$519#GR">
            <a:extLst>
              <a:ext uri="{FF2B5EF4-FFF2-40B4-BE49-F238E27FC236}">
                <a16:creationId xmlns:a16="http://schemas.microsoft.com/office/drawing/2014/main" id="{D7AEDD10-D70E-4DAB-A865-458FE684C62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5956" name="BC$K$519#GR">
              <a:extLst>
                <a:ext uri="{FF2B5EF4-FFF2-40B4-BE49-F238E27FC236}">
                  <a16:creationId xmlns:a16="http://schemas.microsoft.com/office/drawing/2014/main" id="{D90F7C4A-6847-4384-8A2E-7022FA1F130B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5954" name="BC$K$519#GR">
                <a:extLst>
                  <a:ext uri="{FF2B5EF4-FFF2-40B4-BE49-F238E27FC236}">
                    <a16:creationId xmlns:a16="http://schemas.microsoft.com/office/drawing/2014/main" id="{9A6CB402-DA3E-4AC0-B3FC-A320B3A73BD1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5952" name="BC$K$519#GR">
                  <a:extLst>
                    <a:ext uri="{FF2B5EF4-FFF2-40B4-BE49-F238E27FC236}">
                      <a16:creationId xmlns:a16="http://schemas.microsoft.com/office/drawing/2014/main" id="{F7936B3A-BEA5-4D32-B828-A750B288662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5950" name="BC$K$519#GR">
                    <a:extLst>
                      <a:ext uri="{FF2B5EF4-FFF2-40B4-BE49-F238E27FC236}">
                        <a16:creationId xmlns:a16="http://schemas.microsoft.com/office/drawing/2014/main" id="{2A9D6FBB-FBD9-4A55-AF98-4CB8FA663224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5948" name="BC$K$519#GR">
                      <a:extLst>
                        <a:ext uri="{FF2B5EF4-FFF2-40B4-BE49-F238E27FC236}">
                          <a16:creationId xmlns:a16="http://schemas.microsoft.com/office/drawing/2014/main" id="{8B12FC7D-3276-422C-B6A0-84E3E4901414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5946" name="BC$K$519#GR">
                        <a:extLst>
                          <a:ext uri="{FF2B5EF4-FFF2-40B4-BE49-F238E27FC236}">
                            <a16:creationId xmlns:a16="http://schemas.microsoft.com/office/drawing/2014/main" id="{B7C37FF5-8563-48FC-988E-5ECB7EAACF2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5944" name="BC$K$519#GR">
                          <a:extLst>
                            <a:ext uri="{FF2B5EF4-FFF2-40B4-BE49-F238E27FC236}">
                              <a16:creationId xmlns:a16="http://schemas.microsoft.com/office/drawing/2014/main" id="{B038F9F4-D5C6-41A7-8A8C-8B522D07EB63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5942" name="BC$K$519#GR">
                            <a:extLst>
                              <a:ext uri="{FF2B5EF4-FFF2-40B4-BE49-F238E27FC236}">
                                <a16:creationId xmlns:a16="http://schemas.microsoft.com/office/drawing/2014/main" id="{66916667-DB71-4587-90BD-736625EFCCC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5940" name="BC$K$519#GR">
                              <a:extLst>
                                <a:ext uri="{FF2B5EF4-FFF2-40B4-BE49-F238E27FC236}">
                                  <a16:creationId xmlns:a16="http://schemas.microsoft.com/office/drawing/2014/main" id="{DD6AF0A0-AD5D-4831-8DB2-2A8A111086E5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5938" name="BC$K$519#GR">
                                <a:extLst>
                                  <a:ext uri="{FF2B5EF4-FFF2-40B4-BE49-F238E27FC236}">
                                    <a16:creationId xmlns:a16="http://schemas.microsoft.com/office/drawing/2014/main" id="{AADBAAFC-A718-4BF8-A862-79C80905C483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5936" name="BC$K$519#GR">
                                  <a:extLst>
                                    <a:ext uri="{FF2B5EF4-FFF2-40B4-BE49-F238E27FC236}">
                                      <a16:creationId xmlns:a16="http://schemas.microsoft.com/office/drawing/2014/main" id="{32DF4536-F830-4D11-89EF-C13157315743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5934" name="BC$K$519#GR">
                                    <a:extLst>
                                      <a:ext uri="{FF2B5EF4-FFF2-40B4-BE49-F238E27FC236}">
                                        <a16:creationId xmlns:a16="http://schemas.microsoft.com/office/drawing/2014/main" id="{3F40FE00-C0BC-4E62-81A0-D04D17737D6F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5932" name="BC$K$519#GR">
                                      <a:extLst>
                                        <a:ext uri="{FF2B5EF4-FFF2-40B4-BE49-F238E27FC236}">
                                          <a16:creationId xmlns:a16="http://schemas.microsoft.com/office/drawing/2014/main" id="{B9593C84-FC11-4CEB-B7C0-3B5192564D9D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5930" name="BC$K$51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948C0C8-118C-4FB1-935C-4392AB8D993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5928" name="BC$K$51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1C556BD-78C8-4403-B540-5DD07387F37C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5926" name="BC$K$51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CD5A4DB-4406-44BD-9C67-88324606AF2F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5924" name="BC$K$51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1BB45CF-87B3-4C54-A595-E6F68202863D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5922" name="BC$K$51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D2C9281-88A4-4E70-B2E3-B921FB4161D3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5920" name="BC$K$51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3D2A352-A9BA-4F2B-B442-3EBCEE6F0D5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5918" name="BC$K$51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4ECA99B-FDC9-4BB8-A186-EBEC466C97A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5916" name="BC$K$51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5C2D4EB-2C72-4F51-85CC-F254F69D71C2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5914" name="BC$K$51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DA9F9401-0D97-4492-95B5-2294A04C7F5C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5912" name="BC$K$51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C471B50-8133-4238-98F0-F1D6DCF2F71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5910" name="BC$K$51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A44F088-D991-4213-A411-7C6AFFD5C1BD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5908" name="BC$K$51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6DF75AF-7E12-4194-8C9C-F7247434F27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5906" name="BC$K$51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00AFC36-E5BA-484A-A9F3-B44E1708C0F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5904" name="BC$K$51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1255FD89-104B-490A-BC24-C80527A334F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5902" name="BC$K$51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E196851-891E-4676-BF27-6B992ACC91E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5900" name="BC$K$51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BF554FD-AB87-41EC-AED8-683E4784BE5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5898" name="BC$K$51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1202A84-44B7-4995-B822-5A17CBDA5AC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5896" name="BC$K$51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C76EB3B-8582-4D43-8B4E-087EADA96DD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5894" name="BC$K$51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274EA1A-3B1B-4E59-B492-6D1C8A9F983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5892" name="BC$K$51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83E11DEB-EE26-4510-B749-265A5114BD79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5890" name="BC$K$51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987C561-AABD-450D-ABF0-269B0DC4BF5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5888" name="BC$K$51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63B2CD1-12A2-4D5D-BB3C-1E4022E09AF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886" name="BC$K$51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C71AD51-20AC-4A2A-AADD-610D09F3B80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887" name="BC$K$51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D388E25-8512-4B76-A6EC-E5DF8BAFF86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5889" name="BC$K$51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EDEE2F9-622A-499A-99B1-CBA3448464E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5891" name="BC$K$51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F0C180F-17B7-4560-B439-DDDE4A5CB7E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5893" name="BC$K$51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2D79C931-E410-44AA-BD3F-F5C5D170F45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895" name="BC$K$51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BD8FDAED-2CA0-4065-93C9-84E0D71AB53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5897" name="BC$K$51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8FF6B74-EAC7-453B-8E0C-0CD77A21939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5899" name="BC$K$51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C31AC51-E973-43E5-ABEA-4925D323FE1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5901" name="BC$K$51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18CEBD0-0FE7-4BD6-BAAD-789809E3F97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5903" name="BC$K$51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80A47C7-B00E-48D4-8FC4-59F2FB34E9E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5905" name="BC$K$51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63905BF-C1CC-423D-8BF6-B78E4F707CE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5907" name="BC$K$51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1D31877-7599-4FEC-A719-2119C8E6757D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5909" name="BC$K$51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BB8485E-7AAA-404C-A082-C083D2CFA43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5911" name="BC$K$51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69F45006-0888-4D85-AB53-D7948140D59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5913" name="BC$K$51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34ECE9D-3774-44AB-8E7A-A0A69382092C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5915" name="BC$K$51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2AB532B-E350-4441-B8D4-196EFC5ED0E4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5917" name="BC$K$51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70E72B6-FD1D-4771-8C0F-2A5AF8224E95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5919" name="BC$K$51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6006BD8-D0FA-4100-8AD7-7B1E0709D80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921" name="BC$K$51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5885517-51D4-458E-8340-8539009B614F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5923" name="BC$K$51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CB942B5-4680-49CC-99F1-88B4789C78A8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5925" name="BC$K$51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683D461-895F-4D12-BC81-5F1D4C97CF05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5927" name="BC$K$51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8923514-5DA5-4737-A293-3A414B7B0297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5929" name="BC$K$51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2879609-957F-4197-9011-5B922CCE67C8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5931" name="BC$K$51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2C7982E-461D-44AF-88D6-AE6E6D2BD4EB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5933" name="BC$K$51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F78EFEB9-E735-4C80-9E1F-842579A8CEE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5935" name="BC$K$519#BR25">
                                    <a:extLst>
                                      <a:ext uri="{FF2B5EF4-FFF2-40B4-BE49-F238E27FC236}">
                                        <a16:creationId xmlns:a16="http://schemas.microsoft.com/office/drawing/2014/main" id="{621CA5E8-9892-4753-B8F6-E6BBEDCBB13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5937" name="BC$K$519#BR26">
                                  <a:extLst>
                                    <a:ext uri="{FF2B5EF4-FFF2-40B4-BE49-F238E27FC236}">
                                      <a16:creationId xmlns:a16="http://schemas.microsoft.com/office/drawing/2014/main" id="{8E313F80-5EEC-45FD-9FE1-E47EE85A2927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5939" name="BC$K$519#BR27">
                                <a:extLst>
                                  <a:ext uri="{FF2B5EF4-FFF2-40B4-BE49-F238E27FC236}">
                                    <a16:creationId xmlns:a16="http://schemas.microsoft.com/office/drawing/2014/main" id="{512EE271-1601-45DB-A47D-34698DEAB0BC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5941" name="BC$K$519#BR28">
                              <a:extLst>
                                <a:ext uri="{FF2B5EF4-FFF2-40B4-BE49-F238E27FC236}">
                                  <a16:creationId xmlns:a16="http://schemas.microsoft.com/office/drawing/2014/main" id="{6764500F-E1A9-4342-B9CB-EF53392784F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5943" name="BC$K$519#BR29">
                            <a:extLst>
                              <a:ext uri="{FF2B5EF4-FFF2-40B4-BE49-F238E27FC236}">
                                <a16:creationId xmlns:a16="http://schemas.microsoft.com/office/drawing/2014/main" id="{E22CAD78-3E90-4296-8159-96B060C995EE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5945" name="BC$K$519#BR30">
                          <a:extLst>
                            <a:ext uri="{FF2B5EF4-FFF2-40B4-BE49-F238E27FC236}">
                              <a16:creationId xmlns:a16="http://schemas.microsoft.com/office/drawing/2014/main" id="{725EEC9B-BC55-49CB-8A0C-B2F3E982F95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5947" name="BC$K$519#BR31">
                        <a:extLst>
                          <a:ext uri="{FF2B5EF4-FFF2-40B4-BE49-F238E27FC236}">
                            <a16:creationId xmlns:a16="http://schemas.microsoft.com/office/drawing/2014/main" id="{290C71E6-A31E-494E-8B62-29B04BC5A179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5949" name="BC$K$519#BR32">
                      <a:extLst>
                        <a:ext uri="{FF2B5EF4-FFF2-40B4-BE49-F238E27FC236}">
                          <a16:creationId xmlns:a16="http://schemas.microsoft.com/office/drawing/2014/main" id="{08FB1CB0-31B7-4D00-89D4-C79B2FEC3307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5951" name="BC$K$519#BR33">
                    <a:extLst>
                      <a:ext uri="{FF2B5EF4-FFF2-40B4-BE49-F238E27FC236}">
                        <a16:creationId xmlns:a16="http://schemas.microsoft.com/office/drawing/2014/main" id="{515A03F5-8AA2-49B6-8F30-EB3F5430903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5953" name="BC$K$519#BR34">
                  <a:extLst>
                    <a:ext uri="{FF2B5EF4-FFF2-40B4-BE49-F238E27FC236}">
                      <a16:creationId xmlns:a16="http://schemas.microsoft.com/office/drawing/2014/main" id="{394ECAB2-FE09-4B79-9AA0-B7AFF2E4F1D2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5955" name="BC$K$519#BR35">
                <a:extLst>
                  <a:ext uri="{FF2B5EF4-FFF2-40B4-BE49-F238E27FC236}">
                    <a16:creationId xmlns:a16="http://schemas.microsoft.com/office/drawing/2014/main" id="{56E51A82-B40E-437A-8685-E52BA1B0FF6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5957" name="BC$K$519#BR36">
              <a:extLst>
                <a:ext uri="{FF2B5EF4-FFF2-40B4-BE49-F238E27FC236}">
                  <a16:creationId xmlns:a16="http://schemas.microsoft.com/office/drawing/2014/main" id="{91F40B32-D7CE-472E-9B26-3AD67EF5AFB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5959" name="BC$K$519#BR37">
            <a:extLst>
              <a:ext uri="{FF2B5EF4-FFF2-40B4-BE49-F238E27FC236}">
                <a16:creationId xmlns:a16="http://schemas.microsoft.com/office/drawing/2014/main" id="{3058AC58-E2A6-4ACF-BC83-3D8037C7931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525</xdr:row>
      <xdr:rowOff>9525</xdr:rowOff>
    </xdr:from>
    <xdr:to>
      <xdr:col>27</xdr:col>
      <xdr:colOff>209550</xdr:colOff>
      <xdr:row>527</xdr:row>
      <xdr:rowOff>9525</xdr:rowOff>
    </xdr:to>
    <xdr:grpSp>
      <xdr:nvGrpSpPr>
        <xdr:cNvPr id="16035" name="BC$Y$519#GR">
          <a:extLst>
            <a:ext uri="{FF2B5EF4-FFF2-40B4-BE49-F238E27FC236}">
              <a16:creationId xmlns:a16="http://schemas.microsoft.com/office/drawing/2014/main" id="{4D9011C2-AC5A-4794-867C-32E8A4AD87F1}"/>
            </a:ext>
          </a:extLst>
        </xdr:cNvPr>
        <xdr:cNvGrpSpPr/>
      </xdr:nvGrpSpPr>
      <xdr:grpSpPr>
        <a:xfrm>
          <a:off x="5791200" y="99926775"/>
          <a:ext cx="381000" cy="381000"/>
          <a:chOff x="0" y="0"/>
          <a:chExt cx="381000" cy="381000"/>
        </a:xfrm>
      </xdr:grpSpPr>
      <xdr:grpSp>
        <xdr:nvGrpSpPr>
          <xdr:cNvPr id="16033" name="BC$Y$519#GR">
            <a:extLst>
              <a:ext uri="{FF2B5EF4-FFF2-40B4-BE49-F238E27FC236}">
                <a16:creationId xmlns:a16="http://schemas.microsoft.com/office/drawing/2014/main" id="{7EA5671E-AA45-4585-9151-E71274BF960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031" name="BC$Y$519#GR">
              <a:extLst>
                <a:ext uri="{FF2B5EF4-FFF2-40B4-BE49-F238E27FC236}">
                  <a16:creationId xmlns:a16="http://schemas.microsoft.com/office/drawing/2014/main" id="{E97C9B22-97B3-43A2-BDF6-4154518E7449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029" name="BC$Y$519#GR">
                <a:extLst>
                  <a:ext uri="{FF2B5EF4-FFF2-40B4-BE49-F238E27FC236}">
                    <a16:creationId xmlns:a16="http://schemas.microsoft.com/office/drawing/2014/main" id="{797AE4DD-C960-4B90-9470-D8B01F0749EA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027" name="BC$Y$519#GR">
                  <a:extLst>
                    <a:ext uri="{FF2B5EF4-FFF2-40B4-BE49-F238E27FC236}">
                      <a16:creationId xmlns:a16="http://schemas.microsoft.com/office/drawing/2014/main" id="{95D02D2E-D467-42EB-A226-8230A68717A0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025" name="BC$Y$519#GR">
                    <a:extLst>
                      <a:ext uri="{FF2B5EF4-FFF2-40B4-BE49-F238E27FC236}">
                        <a16:creationId xmlns:a16="http://schemas.microsoft.com/office/drawing/2014/main" id="{CF2FEEFF-7120-4674-B99F-A4DEC8185D80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023" name="BC$Y$519#GR">
                      <a:extLst>
                        <a:ext uri="{FF2B5EF4-FFF2-40B4-BE49-F238E27FC236}">
                          <a16:creationId xmlns:a16="http://schemas.microsoft.com/office/drawing/2014/main" id="{A1E0F903-A602-4D9D-9CB1-AA23ACFFDF9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021" name="BC$Y$519#GR">
                        <a:extLst>
                          <a:ext uri="{FF2B5EF4-FFF2-40B4-BE49-F238E27FC236}">
                            <a16:creationId xmlns:a16="http://schemas.microsoft.com/office/drawing/2014/main" id="{F5F73413-63BB-4EB1-9701-26BE5CAF62F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019" name="BC$Y$519#GR">
                          <a:extLst>
                            <a:ext uri="{FF2B5EF4-FFF2-40B4-BE49-F238E27FC236}">
                              <a16:creationId xmlns:a16="http://schemas.microsoft.com/office/drawing/2014/main" id="{69CE64A9-331A-48D4-96AE-69631761E96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017" name="BC$Y$519#GR">
                            <a:extLst>
                              <a:ext uri="{FF2B5EF4-FFF2-40B4-BE49-F238E27FC236}">
                                <a16:creationId xmlns:a16="http://schemas.microsoft.com/office/drawing/2014/main" id="{E0D81B98-40CD-4A13-A1A1-3D266210E8F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6015" name="BC$Y$519#GR">
                              <a:extLst>
                                <a:ext uri="{FF2B5EF4-FFF2-40B4-BE49-F238E27FC236}">
                                  <a16:creationId xmlns:a16="http://schemas.microsoft.com/office/drawing/2014/main" id="{D0931031-DBEE-416E-BF03-8EED6D3E4277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6013" name="BC$Y$519#GR">
                                <a:extLst>
                                  <a:ext uri="{FF2B5EF4-FFF2-40B4-BE49-F238E27FC236}">
                                    <a16:creationId xmlns:a16="http://schemas.microsoft.com/office/drawing/2014/main" id="{91AB3EE9-8952-408A-951A-B9124DD2AC81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6011" name="BC$Y$519#GR">
                                  <a:extLst>
                                    <a:ext uri="{FF2B5EF4-FFF2-40B4-BE49-F238E27FC236}">
                                      <a16:creationId xmlns:a16="http://schemas.microsoft.com/office/drawing/2014/main" id="{0A7FD837-E6A9-4498-BCF5-549F64FF9F0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6009" name="BC$Y$519#GR">
                                    <a:extLst>
                                      <a:ext uri="{FF2B5EF4-FFF2-40B4-BE49-F238E27FC236}">
                                        <a16:creationId xmlns:a16="http://schemas.microsoft.com/office/drawing/2014/main" id="{2C9A5D12-0A49-4195-9C9A-24A5BE1A125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6007" name="BC$Y$519#GR">
                                      <a:extLst>
                                        <a:ext uri="{FF2B5EF4-FFF2-40B4-BE49-F238E27FC236}">
                                          <a16:creationId xmlns:a16="http://schemas.microsoft.com/office/drawing/2014/main" id="{80004C74-20C5-4ED4-B1FD-C45D6D0CF87F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6005" name="BC$Y$519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BE025C8-411C-47BB-8E59-DB9E91C22AFD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6003" name="BC$Y$519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17C79B6-F35E-4355-9425-513A5CBC9B46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6001" name="BC$Y$519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2EAA9B8-9392-47B2-96D7-BD190C236C9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5999" name="BC$Y$519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9FA3302-86A8-4B38-8B6A-4DBDB203899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5997" name="BC$Y$519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1C51F32-CD37-4C04-A833-1A2D3C75114A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5995" name="BC$Y$519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8618243-6FF9-4EF7-8951-9D30C8A4287F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5993" name="BC$Y$519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5741729-42B0-4CF5-A4D7-60771895AB7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5991" name="BC$Y$519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6E8A843-CFED-469C-9F1C-1D69CF01BF6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5989" name="BC$Y$519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CBE0CEF0-59AE-45DA-A971-0D943AA2AF66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5987" name="BC$Y$519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00BBB24-9E33-4072-846E-BDF2E75E604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5985" name="BC$Y$519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79DA970-D94B-43EC-A79B-F5AE13887AF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5983" name="BC$Y$519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E4A2F35-1D0A-4B75-B0C7-720CE58B554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5981" name="BC$Y$519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C289B7F-4A77-4176-82EA-555B6784E05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5979" name="BC$Y$519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4D97640-96E3-4180-9F51-D8E8DFC45CB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5977" name="BC$Y$519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CCA4C97-E9C7-4FF1-99E3-1F4E59CEDF5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5975" name="BC$Y$519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545991D-0757-495D-AC9D-46B0F3CF5CB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5973" name="BC$Y$519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362A147-F8B2-4B56-AA3B-302C5A73DC7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5971" name="BC$Y$519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9E8B8AA-7440-47D4-ADC2-50E40E2BA274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5969" name="BC$Y$519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C64A376-5829-48F6-B4E5-A7722090C9A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5967" name="BC$Y$519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22D0E48-FE14-465E-8431-D25976F189D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5965" name="BC$Y$519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143AA85-A32B-45AA-B3BB-2D44D9337FD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5963" name="BC$Y$519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954C500-6E36-4315-883F-94850D294294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961" name="BC$Y$519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5EC9F39-74E7-4914-B746-4D260E831099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5962" name="BC$Y$519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9C76138-D00A-4A6F-A334-95B65149686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5964" name="BC$Y$519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51B291E-1F09-4E1B-820C-6E2E9D50B3D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5966" name="BC$Y$519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DC9A349-2935-4748-8C62-A256CDCC73D9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5968" name="BC$Y$519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ACCD184-4CEA-4F8B-8428-F524E9542FD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970" name="BC$Y$519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AE1C585-EB78-46F8-9B73-9B992030EDA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5972" name="BC$Y$519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3759234-63DD-4C7A-8710-7F269643B8B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5974" name="BC$Y$519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1E14C248-F04A-4055-AC21-60C79BE08BF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5976" name="BC$Y$519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8A98BE9-1D9E-4FFE-9335-153A66FC22D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5978" name="BC$Y$519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FF6C38CE-7B58-4C20-8E9A-110F7DD2CF2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5980" name="BC$Y$519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81C5D14-21FB-4CD0-9C33-0E61D36A0A3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5982" name="BC$Y$519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2824A39-E2F3-468E-98C8-28A1BCF2195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5984" name="BC$Y$519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4147EEA-E441-4F21-8079-248E046287D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5986" name="BC$Y$519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244B1B5-A8E4-4095-9FEF-E5FE502BD53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5988" name="BC$Y$519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6B98BC5-58B0-483B-845B-5C24E45B895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5990" name="BC$Y$519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3548628-4232-4C72-9A75-A2572DB085DE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5992" name="BC$Y$519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D226F08-9DA3-4B6C-ABC6-81E7CBC1809D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5994" name="BC$Y$519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E321A1B-D804-46EB-9D30-EDC6A37F5C1F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996" name="BC$Y$519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F857D65-2348-4CA1-8B3C-60E0D685553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5998" name="BC$Y$519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F75FAC4-3547-45E9-BF41-2B6BA89FA95A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6000" name="BC$Y$519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5BA0AA2-B8E7-4241-B405-765192688597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6002" name="BC$Y$519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A425DBFB-73AA-48C0-9D34-375325AF43AF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6004" name="BC$Y$519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FA5D562-242A-433F-8987-E06E195BF377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6006" name="BC$Y$519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1F89900-162E-484F-A688-86A423A3E1F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6008" name="BC$Y$519#BR24">
                                      <a:extLst>
                                        <a:ext uri="{FF2B5EF4-FFF2-40B4-BE49-F238E27FC236}">
                                          <a16:creationId xmlns:a16="http://schemas.microsoft.com/office/drawing/2014/main" id="{2CCE6D64-DBCC-493E-9E79-FC7ECB9D99CF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6010" name="BC$Y$519#BR25">
                                    <a:extLst>
                                      <a:ext uri="{FF2B5EF4-FFF2-40B4-BE49-F238E27FC236}">
                                        <a16:creationId xmlns:a16="http://schemas.microsoft.com/office/drawing/2014/main" id="{09314174-75AB-4289-A9D2-704B77AF0CB6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6012" name="BC$Y$519#BR26">
                                  <a:extLst>
                                    <a:ext uri="{FF2B5EF4-FFF2-40B4-BE49-F238E27FC236}">
                                      <a16:creationId xmlns:a16="http://schemas.microsoft.com/office/drawing/2014/main" id="{93CD84E9-D5E9-4D4D-8445-6BD108A3193F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6014" name="BC$Y$519#BR27">
                                <a:extLst>
                                  <a:ext uri="{FF2B5EF4-FFF2-40B4-BE49-F238E27FC236}">
                                    <a16:creationId xmlns:a16="http://schemas.microsoft.com/office/drawing/2014/main" id="{B5A09BB8-1D19-4F38-B7AF-BB72CE705CD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6016" name="BC$Y$519#BR28">
                              <a:extLst>
                                <a:ext uri="{FF2B5EF4-FFF2-40B4-BE49-F238E27FC236}">
                                  <a16:creationId xmlns:a16="http://schemas.microsoft.com/office/drawing/2014/main" id="{005FD47B-4FDA-496B-996F-10901AAC723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018" name="BC$Y$519#BR29">
                            <a:extLst>
                              <a:ext uri="{FF2B5EF4-FFF2-40B4-BE49-F238E27FC236}">
                                <a16:creationId xmlns:a16="http://schemas.microsoft.com/office/drawing/2014/main" id="{38E027A2-B8E2-4374-95D2-95A4AD78C9D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020" name="BC$Y$519#BR30">
                          <a:extLst>
                            <a:ext uri="{FF2B5EF4-FFF2-40B4-BE49-F238E27FC236}">
                              <a16:creationId xmlns:a16="http://schemas.microsoft.com/office/drawing/2014/main" id="{681FC30B-5EE8-40F1-90D1-AD68E1F0018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022" name="BC$Y$519#BR31">
                        <a:extLst>
                          <a:ext uri="{FF2B5EF4-FFF2-40B4-BE49-F238E27FC236}">
                            <a16:creationId xmlns:a16="http://schemas.microsoft.com/office/drawing/2014/main" id="{783446F9-9194-46D3-B338-781DD053006B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024" name="BC$Y$519#BR32">
                      <a:extLst>
                        <a:ext uri="{FF2B5EF4-FFF2-40B4-BE49-F238E27FC236}">
                          <a16:creationId xmlns:a16="http://schemas.microsoft.com/office/drawing/2014/main" id="{508C2A89-2689-461A-973D-C096BEFCDFBA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026" name="BC$Y$519#BR33">
                    <a:extLst>
                      <a:ext uri="{FF2B5EF4-FFF2-40B4-BE49-F238E27FC236}">
                        <a16:creationId xmlns:a16="http://schemas.microsoft.com/office/drawing/2014/main" id="{5FA26123-BDFC-4541-B397-3A22472F7B2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028" name="BC$Y$519#BR34">
                  <a:extLst>
                    <a:ext uri="{FF2B5EF4-FFF2-40B4-BE49-F238E27FC236}">
                      <a16:creationId xmlns:a16="http://schemas.microsoft.com/office/drawing/2014/main" id="{41ADB8E8-B614-4D5F-AEB2-D1F35B0946BA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030" name="BC$Y$519#BR35">
                <a:extLst>
                  <a:ext uri="{FF2B5EF4-FFF2-40B4-BE49-F238E27FC236}">
                    <a16:creationId xmlns:a16="http://schemas.microsoft.com/office/drawing/2014/main" id="{6325701F-D085-430E-A777-807D971FDEB0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032" name="BC$Y$519#BR36">
              <a:extLst>
                <a:ext uri="{FF2B5EF4-FFF2-40B4-BE49-F238E27FC236}">
                  <a16:creationId xmlns:a16="http://schemas.microsoft.com/office/drawing/2014/main" id="{13B4E5CB-4EB4-4294-85E8-48C2CDE2512A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034" name="BC$Y$519#BR37">
            <a:extLst>
              <a:ext uri="{FF2B5EF4-FFF2-40B4-BE49-F238E27FC236}">
                <a16:creationId xmlns:a16="http://schemas.microsoft.com/office/drawing/2014/main" id="{FB06BFBA-7371-4FC1-9421-833656E2C2A3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38100</xdr:colOff>
      <xdr:row>536</xdr:row>
      <xdr:rowOff>9525</xdr:rowOff>
    </xdr:from>
    <xdr:to>
      <xdr:col>13</xdr:col>
      <xdr:colOff>200025</xdr:colOff>
      <xdr:row>538</xdr:row>
      <xdr:rowOff>9525</xdr:rowOff>
    </xdr:to>
    <xdr:grpSp>
      <xdr:nvGrpSpPr>
        <xdr:cNvPr id="16110" name="BC$K$530#GR">
          <a:extLst>
            <a:ext uri="{FF2B5EF4-FFF2-40B4-BE49-F238E27FC236}">
              <a16:creationId xmlns:a16="http://schemas.microsoft.com/office/drawing/2014/main" id="{6EF433E1-1C10-4904-B778-EC0CDC1DECB7}"/>
            </a:ext>
          </a:extLst>
        </xdr:cNvPr>
        <xdr:cNvGrpSpPr/>
      </xdr:nvGrpSpPr>
      <xdr:grpSpPr>
        <a:xfrm>
          <a:off x="2667000" y="102022275"/>
          <a:ext cx="381000" cy="381000"/>
          <a:chOff x="0" y="0"/>
          <a:chExt cx="381000" cy="381000"/>
        </a:xfrm>
      </xdr:grpSpPr>
      <xdr:grpSp>
        <xdr:nvGrpSpPr>
          <xdr:cNvPr id="16108" name="BC$K$530#GR">
            <a:extLst>
              <a:ext uri="{FF2B5EF4-FFF2-40B4-BE49-F238E27FC236}">
                <a16:creationId xmlns:a16="http://schemas.microsoft.com/office/drawing/2014/main" id="{F62BBCE0-C1DE-4773-A34E-71DDFA5F1E02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106" name="BC$K$530#GR">
              <a:extLst>
                <a:ext uri="{FF2B5EF4-FFF2-40B4-BE49-F238E27FC236}">
                  <a16:creationId xmlns:a16="http://schemas.microsoft.com/office/drawing/2014/main" id="{2F5DE9B9-6435-40D2-9E3E-4E70396903BC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104" name="BC$K$530#GR">
                <a:extLst>
                  <a:ext uri="{FF2B5EF4-FFF2-40B4-BE49-F238E27FC236}">
                    <a16:creationId xmlns:a16="http://schemas.microsoft.com/office/drawing/2014/main" id="{650F7B3D-BEF0-4220-AF39-6A636072307C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102" name="BC$K$530#GR">
                  <a:extLst>
                    <a:ext uri="{FF2B5EF4-FFF2-40B4-BE49-F238E27FC236}">
                      <a16:creationId xmlns:a16="http://schemas.microsoft.com/office/drawing/2014/main" id="{BD8A2DE8-64F4-41B5-B72F-E1F23DC76B1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100" name="BC$K$530#GR">
                    <a:extLst>
                      <a:ext uri="{FF2B5EF4-FFF2-40B4-BE49-F238E27FC236}">
                        <a16:creationId xmlns:a16="http://schemas.microsoft.com/office/drawing/2014/main" id="{8528D7B3-CDDA-49FE-862F-FA8933B35FB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098" name="BC$K$530#GR">
                      <a:extLst>
                        <a:ext uri="{FF2B5EF4-FFF2-40B4-BE49-F238E27FC236}">
                          <a16:creationId xmlns:a16="http://schemas.microsoft.com/office/drawing/2014/main" id="{F745AB6D-51EC-4595-AF53-C2AA1E8030F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096" name="BC$K$530#GR">
                        <a:extLst>
                          <a:ext uri="{FF2B5EF4-FFF2-40B4-BE49-F238E27FC236}">
                            <a16:creationId xmlns:a16="http://schemas.microsoft.com/office/drawing/2014/main" id="{0E10F50D-CE03-4CDF-91B6-1472B8700A6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094" name="BC$K$530#GR">
                          <a:extLst>
                            <a:ext uri="{FF2B5EF4-FFF2-40B4-BE49-F238E27FC236}">
                              <a16:creationId xmlns:a16="http://schemas.microsoft.com/office/drawing/2014/main" id="{951E1FF9-7FF2-4509-B552-2D3702FF2EF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092" name="BC$K$530#GR">
                            <a:extLst>
                              <a:ext uri="{FF2B5EF4-FFF2-40B4-BE49-F238E27FC236}">
                                <a16:creationId xmlns:a16="http://schemas.microsoft.com/office/drawing/2014/main" id="{FDBC5FA2-AF87-4BB3-A3F9-7567E771A1A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6090" name="BC$K$530#GR">
                              <a:extLst>
                                <a:ext uri="{FF2B5EF4-FFF2-40B4-BE49-F238E27FC236}">
                                  <a16:creationId xmlns:a16="http://schemas.microsoft.com/office/drawing/2014/main" id="{A7CFE1F4-FB2E-4AF2-81BD-71912937199F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6088" name="BC$K$530#GR">
                                <a:extLst>
                                  <a:ext uri="{FF2B5EF4-FFF2-40B4-BE49-F238E27FC236}">
                                    <a16:creationId xmlns:a16="http://schemas.microsoft.com/office/drawing/2014/main" id="{0A06631F-7C02-4BE2-8F11-EA54975D0E7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6086" name="BC$K$530#GR">
                                  <a:extLst>
                                    <a:ext uri="{FF2B5EF4-FFF2-40B4-BE49-F238E27FC236}">
                                      <a16:creationId xmlns:a16="http://schemas.microsoft.com/office/drawing/2014/main" id="{74C2BAB4-8013-4A46-A578-219E421D87D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6084" name="BC$K$530#GR">
                                    <a:extLst>
                                      <a:ext uri="{FF2B5EF4-FFF2-40B4-BE49-F238E27FC236}">
                                        <a16:creationId xmlns:a16="http://schemas.microsoft.com/office/drawing/2014/main" id="{E6CFBDA6-C9AB-4CC0-ADE9-BBDCCD52692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6082" name="BC$K$530#GR">
                                      <a:extLst>
                                        <a:ext uri="{FF2B5EF4-FFF2-40B4-BE49-F238E27FC236}">
                                          <a16:creationId xmlns:a16="http://schemas.microsoft.com/office/drawing/2014/main" id="{F2E69CE1-1D6D-4071-ACB6-42615A5E8DF5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6080" name="BC$K$53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2A66AD4-9E93-42B9-AA8F-5A1A874A884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6078" name="BC$K$53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96D9C07-2102-4E87-BFD5-F48C722302F2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6076" name="BC$K$53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BB7E58-3145-471A-9422-ECF6A92D05E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6074" name="BC$K$53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A28DC8A-3B75-4341-84A7-5DA36FC7A34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6072" name="BC$K$53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F430845A-25D5-4260-88B3-2B6AA873AB4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6070" name="BC$K$53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B13EC54-FC2E-4120-A819-6408C2A713B9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6068" name="BC$K$53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590B7B32-7AB1-4082-9FC5-ABF3205F8364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6066" name="BC$K$53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3131B46-8A22-46A1-98E2-43BF25749973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6064" name="BC$K$53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E8892BF-62D9-40B7-B4BF-AA5BF0E9EF3F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6062" name="BC$K$53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28776AC-DD04-490C-BE86-B0290943F7DF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6060" name="BC$K$53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160953EA-FD85-4505-B889-B5E4E4ED277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6058" name="BC$K$53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F856B2D-B6CE-46E9-84A5-9F13A9740138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6056" name="BC$K$53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689216A-7DC4-41AA-9541-92C4B183DF6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6054" name="BC$K$53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5988C09-4608-4C59-BB7E-4A205485992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6052" name="BC$K$53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D785215-DAA1-406A-AFA4-F4D2D8A6DA1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6050" name="BC$K$53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38581AA-44BB-4D63-ADB5-41E614D51FB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6048" name="BC$K$53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765C9286-0BFF-4C35-BEFB-242C4873A72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6046" name="BC$K$53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C529F74-263C-42F9-A469-3CA4284ACBE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6044" name="BC$K$53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DB143AA-DF75-46FC-B48D-D0917288ADF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6042" name="BC$K$53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6124DDF-3419-43CA-A1F6-1143B2529A1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6040" name="BC$K$53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9DA267B-C3C0-483A-974E-475BDEB4DC0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6038" name="BC$K$53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EB1BCE6-46BD-42D1-8558-D439C69C2701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036" name="BC$K$530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31938EE-7EB1-4429-9948-E063505711B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037" name="BC$K$530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3E2E7A31-E124-4A67-9366-795764994B1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6039" name="BC$K$530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88914AE-08B7-4A66-880D-FA4039D2480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6041" name="BC$K$530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4860FF3-E1DC-42E6-BFAD-D49B540D94B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6043" name="BC$K$530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81078491-3C3C-4469-A545-270FB8EF39E6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6045" name="BC$K$530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142B148C-AA40-4530-AD27-5E0A8996310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6047" name="BC$K$530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78F3BA8-1663-4745-B2DB-AE66CB5C221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6049" name="BC$K$530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3AC26A2F-3AE7-4EBA-9036-25145F31A7E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6051" name="BC$K$530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E0F03B2-6343-44A0-AACD-E65ED16B6AD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6053" name="BC$K$530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5B0AEE8-7D0F-48C1-B4F3-75531636753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6055" name="BC$K$530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10D7939-D7DA-47D7-882B-D00A3434455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6057" name="BC$K$530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8D8A7A2-2146-4AF2-A0D5-49BD807A51E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6059" name="BC$K$530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868F955A-AF41-40A8-8836-101E9776A0C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6061" name="BC$K$530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92C1F2E-2456-4B92-BF01-5EB0E2E6F8B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6063" name="BC$K$530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9CB927AD-A219-4CA1-985F-8D4479E246F3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6065" name="BC$K$530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E96F82B-9936-44B1-80CB-5A4B71E0BFB1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6067" name="BC$K$530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1D9000EC-D533-41E1-AFC1-4FFC35F44D12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6069" name="BC$K$530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1B0E56B-7D17-45FF-B0CB-3A73051A3F9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6071" name="BC$K$530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44B36754-4A47-4776-A5E6-06581EFF076E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6073" name="BC$K$530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1FA3E24-A0AF-4697-9A34-412C1A333835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6075" name="BC$K$530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7C981AB-BC57-4B3E-B520-6182B510F651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6077" name="BC$K$530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FE30FCB-1874-448F-9398-6D792C59AF8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6079" name="BC$K$530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EB19022-D798-4172-AEA2-B82A52A7BAE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6081" name="BC$K$530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65AA335-06FE-4CBF-87B3-C3A9DE484767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6083" name="BC$K$530#BR24">
                                      <a:extLst>
                                        <a:ext uri="{FF2B5EF4-FFF2-40B4-BE49-F238E27FC236}">
                                          <a16:creationId xmlns:a16="http://schemas.microsoft.com/office/drawing/2014/main" id="{C47DAB06-F77C-4743-90B7-3E211AF43A9E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6085" name="BC$K$530#BR25">
                                    <a:extLst>
                                      <a:ext uri="{FF2B5EF4-FFF2-40B4-BE49-F238E27FC236}">
                                        <a16:creationId xmlns:a16="http://schemas.microsoft.com/office/drawing/2014/main" id="{6016E4F4-31D2-412F-B027-CFE4342F3345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6087" name="BC$K$530#BR26">
                                  <a:extLst>
                                    <a:ext uri="{FF2B5EF4-FFF2-40B4-BE49-F238E27FC236}">
                                      <a16:creationId xmlns:a16="http://schemas.microsoft.com/office/drawing/2014/main" id="{9772E764-62AD-4721-BD8E-5CDE0EF06A7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6089" name="BC$K$530#BR27">
                                <a:extLst>
                                  <a:ext uri="{FF2B5EF4-FFF2-40B4-BE49-F238E27FC236}">
                                    <a16:creationId xmlns:a16="http://schemas.microsoft.com/office/drawing/2014/main" id="{5A2280BF-C01F-48BD-A0DA-E635E0FDEC5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6091" name="BC$K$530#BR28">
                              <a:extLst>
                                <a:ext uri="{FF2B5EF4-FFF2-40B4-BE49-F238E27FC236}">
                                  <a16:creationId xmlns:a16="http://schemas.microsoft.com/office/drawing/2014/main" id="{FD05069E-2786-4CB9-827E-86713742041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093" name="BC$K$530#BR29">
                            <a:extLst>
                              <a:ext uri="{FF2B5EF4-FFF2-40B4-BE49-F238E27FC236}">
                                <a16:creationId xmlns:a16="http://schemas.microsoft.com/office/drawing/2014/main" id="{203E42BD-6D8C-47DB-B550-CF13B0D7EDAF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095" name="BC$K$530#BR30">
                          <a:extLst>
                            <a:ext uri="{FF2B5EF4-FFF2-40B4-BE49-F238E27FC236}">
                              <a16:creationId xmlns:a16="http://schemas.microsoft.com/office/drawing/2014/main" id="{44EB9F2C-361E-453B-B83D-94595CDEE48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097" name="BC$K$530#BR31">
                        <a:extLst>
                          <a:ext uri="{FF2B5EF4-FFF2-40B4-BE49-F238E27FC236}">
                            <a16:creationId xmlns:a16="http://schemas.microsoft.com/office/drawing/2014/main" id="{D498CA47-CC83-4F5C-B1CE-FCC008EA7C0A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099" name="BC$K$530#BR32">
                      <a:extLst>
                        <a:ext uri="{FF2B5EF4-FFF2-40B4-BE49-F238E27FC236}">
                          <a16:creationId xmlns:a16="http://schemas.microsoft.com/office/drawing/2014/main" id="{9070F98A-12C4-4E0B-9E0C-19221AA8AF73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101" name="BC$K$530#BR33">
                    <a:extLst>
                      <a:ext uri="{FF2B5EF4-FFF2-40B4-BE49-F238E27FC236}">
                        <a16:creationId xmlns:a16="http://schemas.microsoft.com/office/drawing/2014/main" id="{9355E1DB-B666-4367-8957-635FAAA44DD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103" name="BC$K$530#BR34">
                  <a:extLst>
                    <a:ext uri="{FF2B5EF4-FFF2-40B4-BE49-F238E27FC236}">
                      <a16:creationId xmlns:a16="http://schemas.microsoft.com/office/drawing/2014/main" id="{07B03240-DB75-43D1-BDC7-2E9518A4AD1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105" name="BC$K$530#BR35">
                <a:extLst>
                  <a:ext uri="{FF2B5EF4-FFF2-40B4-BE49-F238E27FC236}">
                    <a16:creationId xmlns:a16="http://schemas.microsoft.com/office/drawing/2014/main" id="{7B2FC4A0-FC60-4D91-8357-239291B4B726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107" name="BC$K$530#BR36">
              <a:extLst>
                <a:ext uri="{FF2B5EF4-FFF2-40B4-BE49-F238E27FC236}">
                  <a16:creationId xmlns:a16="http://schemas.microsoft.com/office/drawing/2014/main" id="{8B6BE4FA-DF77-449A-AD27-7ECC309DD63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109" name="BC$K$530#BR37">
            <a:extLst>
              <a:ext uri="{FF2B5EF4-FFF2-40B4-BE49-F238E27FC236}">
                <a16:creationId xmlns:a16="http://schemas.microsoft.com/office/drawing/2014/main" id="{E5B4D108-EF94-459D-B224-A20C3339ED2B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47625</xdr:colOff>
      <xdr:row>536</xdr:row>
      <xdr:rowOff>9525</xdr:rowOff>
    </xdr:from>
    <xdr:to>
      <xdr:col>27</xdr:col>
      <xdr:colOff>209550</xdr:colOff>
      <xdr:row>538</xdr:row>
      <xdr:rowOff>9525</xdr:rowOff>
    </xdr:to>
    <xdr:grpSp>
      <xdr:nvGrpSpPr>
        <xdr:cNvPr id="16185" name="BC$Y$530#GR">
          <a:extLst>
            <a:ext uri="{FF2B5EF4-FFF2-40B4-BE49-F238E27FC236}">
              <a16:creationId xmlns:a16="http://schemas.microsoft.com/office/drawing/2014/main" id="{86A2DC86-471D-43AF-9256-E05D339E1840}"/>
            </a:ext>
          </a:extLst>
        </xdr:cNvPr>
        <xdr:cNvGrpSpPr/>
      </xdr:nvGrpSpPr>
      <xdr:grpSpPr>
        <a:xfrm>
          <a:off x="5791200" y="102022275"/>
          <a:ext cx="381000" cy="381000"/>
          <a:chOff x="0" y="0"/>
          <a:chExt cx="381000" cy="381000"/>
        </a:xfrm>
      </xdr:grpSpPr>
      <xdr:grpSp>
        <xdr:nvGrpSpPr>
          <xdr:cNvPr id="16183" name="BC$Y$530#GR">
            <a:extLst>
              <a:ext uri="{FF2B5EF4-FFF2-40B4-BE49-F238E27FC236}">
                <a16:creationId xmlns:a16="http://schemas.microsoft.com/office/drawing/2014/main" id="{E285EABB-BF28-4627-9959-C932A377698B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181" name="BC$Y$530#GR">
              <a:extLst>
                <a:ext uri="{FF2B5EF4-FFF2-40B4-BE49-F238E27FC236}">
                  <a16:creationId xmlns:a16="http://schemas.microsoft.com/office/drawing/2014/main" id="{A2DDB5AA-0BDB-4E6F-9835-61351F824790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179" name="BC$Y$530#GR">
                <a:extLst>
                  <a:ext uri="{FF2B5EF4-FFF2-40B4-BE49-F238E27FC236}">
                    <a16:creationId xmlns:a16="http://schemas.microsoft.com/office/drawing/2014/main" id="{065A6969-E797-43E5-BB51-246D12940B8D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177" name="BC$Y$530#GR">
                  <a:extLst>
                    <a:ext uri="{FF2B5EF4-FFF2-40B4-BE49-F238E27FC236}">
                      <a16:creationId xmlns:a16="http://schemas.microsoft.com/office/drawing/2014/main" id="{FAB66C09-FC8F-4C65-B6BD-4A7B750AD263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175" name="BC$Y$530#GR">
                    <a:extLst>
                      <a:ext uri="{FF2B5EF4-FFF2-40B4-BE49-F238E27FC236}">
                        <a16:creationId xmlns:a16="http://schemas.microsoft.com/office/drawing/2014/main" id="{91DF42BD-ABE1-402F-B4D9-301ADE1824C5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173" name="BC$Y$530#GR">
                      <a:extLst>
                        <a:ext uri="{FF2B5EF4-FFF2-40B4-BE49-F238E27FC236}">
                          <a16:creationId xmlns:a16="http://schemas.microsoft.com/office/drawing/2014/main" id="{E1F338D5-1F4B-4249-8569-BE9838BC5F6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171" name="BC$Y$530#GR">
                        <a:extLst>
                          <a:ext uri="{FF2B5EF4-FFF2-40B4-BE49-F238E27FC236}">
                            <a16:creationId xmlns:a16="http://schemas.microsoft.com/office/drawing/2014/main" id="{D49B3EF2-B0A8-44C2-9E80-3ADB71114CCA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169" name="BC$Y$530#GR">
                          <a:extLst>
                            <a:ext uri="{FF2B5EF4-FFF2-40B4-BE49-F238E27FC236}">
                              <a16:creationId xmlns:a16="http://schemas.microsoft.com/office/drawing/2014/main" id="{1E235E5F-91CF-451A-A191-A7720623F43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167" name="BC$Y$530#GR">
                            <a:extLst>
                              <a:ext uri="{FF2B5EF4-FFF2-40B4-BE49-F238E27FC236}">
                                <a16:creationId xmlns:a16="http://schemas.microsoft.com/office/drawing/2014/main" id="{800E730E-73BF-4231-B134-1F5A65374A9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6165" name="BC$Y$530#GR">
                              <a:extLst>
                                <a:ext uri="{FF2B5EF4-FFF2-40B4-BE49-F238E27FC236}">
                                  <a16:creationId xmlns:a16="http://schemas.microsoft.com/office/drawing/2014/main" id="{C79CF1C7-ABB1-4098-BF5B-9C370DF806A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6163" name="BC$Y$530#GR">
                                <a:extLst>
                                  <a:ext uri="{FF2B5EF4-FFF2-40B4-BE49-F238E27FC236}">
                                    <a16:creationId xmlns:a16="http://schemas.microsoft.com/office/drawing/2014/main" id="{7A9EE095-8DCC-4608-A363-61088BC8E27F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6161" name="BC$Y$530#GR">
                                  <a:extLst>
                                    <a:ext uri="{FF2B5EF4-FFF2-40B4-BE49-F238E27FC236}">
                                      <a16:creationId xmlns:a16="http://schemas.microsoft.com/office/drawing/2014/main" id="{131890FE-1C73-4EC5-A4A8-1F5BBB430F7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6159" name="BC$Y$530#GR">
                                    <a:extLst>
                                      <a:ext uri="{FF2B5EF4-FFF2-40B4-BE49-F238E27FC236}">
                                        <a16:creationId xmlns:a16="http://schemas.microsoft.com/office/drawing/2014/main" id="{459107BA-E43B-4E8A-84F7-89790042A2F7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6157" name="BC$Y$530#GR">
                                      <a:extLst>
                                        <a:ext uri="{FF2B5EF4-FFF2-40B4-BE49-F238E27FC236}">
                                          <a16:creationId xmlns:a16="http://schemas.microsoft.com/office/drawing/2014/main" id="{C4BDE80C-9FC4-4F2D-AA36-047B574DC3AD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6155" name="BC$Y$530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705E420-F229-4ED1-B001-47F1EBE17074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6153" name="BC$Y$530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B2DA24D-427D-41C5-A54B-D5F0A879E696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6151" name="BC$Y$530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55C8C04-988B-4910-9F09-E3F4CBA98142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6149" name="BC$Y$530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D4C0EBA-E290-4BBA-8255-1D0DBDC2C9BF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6147" name="BC$Y$530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051C101-7AFB-4826-8523-4EA898708437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6145" name="BC$Y$530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CA26F20F-BE98-4FAC-AC54-31732AC1368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6143" name="BC$Y$530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7E8CB00E-4B23-4A3C-94BA-3677557DDE93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6141" name="BC$Y$530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5DD03A1A-D7C8-4AFF-B511-299D59990AFC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6139" name="BC$Y$530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D21EDFA-F967-4EFD-BC40-108DE972D1C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6137" name="BC$Y$530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CBAFAF5-8372-4EBA-8DE4-0000843091D1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6135" name="BC$Y$530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536AB166-6DB4-4289-84A7-17862724163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6133" name="BC$Y$530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28F3570C-36BD-4D11-A12E-F510B3A6F35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6131" name="BC$Y$530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D608E75-0513-4880-A9E6-5946D626446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6129" name="BC$Y$530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F0C520E-C008-44CC-A713-7596027FC5EB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6127" name="BC$Y$530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922755F-7DCB-4743-B175-7106628D657B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6125" name="BC$Y$530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D759BF8-93F2-4745-9D5D-40010310BE7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6123" name="BC$Y$530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21D3BAF-6D02-4694-8CE2-9B78B3D10A2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6121" name="BC$Y$530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59B7A73-4C78-40FF-A6A2-B87FA93AD55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6119" name="BC$Y$530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4671192-96AD-45E6-AECF-C0CA3E70F81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6117" name="BC$Y$530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AA0FDC1-3D0D-401F-A3E5-1D3D7B928C1D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6115" name="BC$Y$530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E66509C-78CB-42A0-8638-EF45F08C5F25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6113" name="BC$Y$530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A9BCE28-65DC-4073-AF9F-EC1205FABB5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111" name="BC$Y$530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B3DA887-2975-4F03-B344-B4CD16713A8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112" name="BC$Y$530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C354AF8-6B0B-4F93-928D-CF25AEDEE19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6114" name="BC$Y$530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FBF8640-7F59-4645-AC94-3FB854977930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6116" name="BC$Y$530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AC8975D-F5D7-41CD-B443-F6CACA1E4C7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6118" name="BC$Y$530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A5D21C9-081E-4962-9B88-A82D5BB75F3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6120" name="BC$Y$530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F9B754E-F346-419D-A5C1-58F1A94BD833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6122" name="BC$Y$530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128E224D-6958-4100-8F5E-1944A0C3E720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6124" name="BC$Y$530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29F67DD4-329F-48ED-A048-AB38BDF116E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6126" name="BC$Y$530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AEE3DD3-37C5-46A2-97BE-9787C0F4B0E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6128" name="BC$Y$530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AC1C62B-C381-4290-B59B-EA66F4DC85E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6130" name="BC$Y$530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2199021-9DFB-42B4-9DFC-2B680B98EBB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6132" name="BC$Y$530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4007C4CC-1D1E-45F4-AC12-6A3F37186F8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6134" name="BC$Y$530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1501D210-05C8-44D8-8BAF-34C2B2CCA38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6136" name="BC$Y$530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36D39AB-9B7A-4960-99CF-5572B8835E9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6138" name="BC$Y$530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A51B5F9-78AD-4402-BCBE-052CE4C60D6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6140" name="BC$Y$530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28A414A-8A50-4133-A03E-557841B068F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6142" name="BC$Y$530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8AEA5A1-AB85-42D1-AA12-271DE5C1616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6144" name="BC$Y$530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6A6F5860-54C9-46FB-890C-F844B9C6A328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6146" name="BC$Y$530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6E1D301-86F2-49FC-A904-415F81912B5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6148" name="BC$Y$530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3C0A612-17E3-411E-AAD2-108ACA735702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6150" name="BC$Y$530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6018D9C3-5F55-48EC-84F1-56F079001DA9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6152" name="BC$Y$530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9D45AB2-F92D-41BE-8AAD-8284EFA3932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6154" name="BC$Y$530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D65B1CA-072B-431B-BB39-96122D323D7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6156" name="BC$Y$530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0019D9D-B6B9-42ED-933E-23CF4E5E602E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6158" name="BC$Y$530#BR24">
                                      <a:extLst>
                                        <a:ext uri="{FF2B5EF4-FFF2-40B4-BE49-F238E27FC236}">
                                          <a16:creationId xmlns:a16="http://schemas.microsoft.com/office/drawing/2014/main" id="{4B921225-2BC7-4848-BF7D-128ACA8CCFF8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6160" name="BC$Y$530#BR25">
                                    <a:extLst>
                                      <a:ext uri="{FF2B5EF4-FFF2-40B4-BE49-F238E27FC236}">
                                        <a16:creationId xmlns:a16="http://schemas.microsoft.com/office/drawing/2014/main" id="{BA293983-C1FA-4DEE-9496-52DF34BC329F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6162" name="BC$Y$530#BR26">
                                  <a:extLst>
                                    <a:ext uri="{FF2B5EF4-FFF2-40B4-BE49-F238E27FC236}">
                                      <a16:creationId xmlns:a16="http://schemas.microsoft.com/office/drawing/2014/main" id="{89B82A39-9314-42EE-8792-4BFDAB1BEE42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6164" name="BC$Y$530#BR27">
                                <a:extLst>
                                  <a:ext uri="{FF2B5EF4-FFF2-40B4-BE49-F238E27FC236}">
                                    <a16:creationId xmlns:a16="http://schemas.microsoft.com/office/drawing/2014/main" id="{8923F276-54EE-4446-8CDF-A2EA1E896D22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6166" name="BC$Y$530#BR28">
                              <a:extLst>
                                <a:ext uri="{FF2B5EF4-FFF2-40B4-BE49-F238E27FC236}">
                                  <a16:creationId xmlns:a16="http://schemas.microsoft.com/office/drawing/2014/main" id="{09F5E306-4CEE-40BC-9AF5-AB5EBBD76A0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168" name="BC$Y$530#BR29">
                            <a:extLst>
                              <a:ext uri="{FF2B5EF4-FFF2-40B4-BE49-F238E27FC236}">
                                <a16:creationId xmlns:a16="http://schemas.microsoft.com/office/drawing/2014/main" id="{1EACD9FE-E16E-486F-A378-9B77F240CA7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170" name="BC$Y$530#BR30">
                          <a:extLst>
                            <a:ext uri="{FF2B5EF4-FFF2-40B4-BE49-F238E27FC236}">
                              <a16:creationId xmlns:a16="http://schemas.microsoft.com/office/drawing/2014/main" id="{F88D8204-1198-41A0-B6A7-65CA8FD176C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172" name="BC$Y$530#BR31">
                        <a:extLst>
                          <a:ext uri="{FF2B5EF4-FFF2-40B4-BE49-F238E27FC236}">
                            <a16:creationId xmlns:a16="http://schemas.microsoft.com/office/drawing/2014/main" id="{E9FDD409-FC1A-4F33-8C4C-F8AC9171BDD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174" name="BC$Y$530#BR32">
                      <a:extLst>
                        <a:ext uri="{FF2B5EF4-FFF2-40B4-BE49-F238E27FC236}">
                          <a16:creationId xmlns:a16="http://schemas.microsoft.com/office/drawing/2014/main" id="{728421A5-F1BE-4E4E-A4C4-628A86E7D02B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176" name="BC$Y$530#BR33">
                    <a:extLst>
                      <a:ext uri="{FF2B5EF4-FFF2-40B4-BE49-F238E27FC236}">
                        <a16:creationId xmlns:a16="http://schemas.microsoft.com/office/drawing/2014/main" id="{C2DDA785-BCAD-4948-AF46-6ED87FBF54A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178" name="BC$Y$530#BR34">
                  <a:extLst>
                    <a:ext uri="{FF2B5EF4-FFF2-40B4-BE49-F238E27FC236}">
                      <a16:creationId xmlns:a16="http://schemas.microsoft.com/office/drawing/2014/main" id="{4249624A-2361-493F-8232-484D2DFD976F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180" name="BC$Y$530#BR35">
                <a:extLst>
                  <a:ext uri="{FF2B5EF4-FFF2-40B4-BE49-F238E27FC236}">
                    <a16:creationId xmlns:a16="http://schemas.microsoft.com/office/drawing/2014/main" id="{3C02C3F5-713D-4214-8557-56FFD6026D6D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182" name="BC$Y$530#BR36">
              <a:extLst>
                <a:ext uri="{FF2B5EF4-FFF2-40B4-BE49-F238E27FC236}">
                  <a16:creationId xmlns:a16="http://schemas.microsoft.com/office/drawing/2014/main" id="{A5F40AFE-D7E5-429B-AB1D-218A66F348D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184" name="BC$Y$530#BR37">
            <a:extLst>
              <a:ext uri="{FF2B5EF4-FFF2-40B4-BE49-F238E27FC236}">
                <a16:creationId xmlns:a16="http://schemas.microsoft.com/office/drawing/2014/main" id="{E79658B7-36FD-4640-8B3C-3AA088B3361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47625</xdr:colOff>
      <xdr:row>547</xdr:row>
      <xdr:rowOff>9525</xdr:rowOff>
    </xdr:from>
    <xdr:to>
      <xdr:col>13</xdr:col>
      <xdr:colOff>209550</xdr:colOff>
      <xdr:row>549</xdr:row>
      <xdr:rowOff>9525</xdr:rowOff>
    </xdr:to>
    <xdr:grpSp>
      <xdr:nvGrpSpPr>
        <xdr:cNvPr id="16260" name="BC$K$541#GR">
          <a:extLst>
            <a:ext uri="{FF2B5EF4-FFF2-40B4-BE49-F238E27FC236}">
              <a16:creationId xmlns:a16="http://schemas.microsoft.com/office/drawing/2014/main" id="{69001068-395E-46BD-9286-8CCEAE301018}"/>
            </a:ext>
          </a:extLst>
        </xdr:cNvPr>
        <xdr:cNvGrpSpPr/>
      </xdr:nvGrpSpPr>
      <xdr:grpSpPr>
        <a:xfrm>
          <a:off x="2676525" y="104117775"/>
          <a:ext cx="381000" cy="381000"/>
          <a:chOff x="0" y="0"/>
          <a:chExt cx="381000" cy="381000"/>
        </a:xfrm>
      </xdr:grpSpPr>
      <xdr:grpSp>
        <xdr:nvGrpSpPr>
          <xdr:cNvPr id="16258" name="BC$K$541#GR">
            <a:extLst>
              <a:ext uri="{FF2B5EF4-FFF2-40B4-BE49-F238E27FC236}">
                <a16:creationId xmlns:a16="http://schemas.microsoft.com/office/drawing/2014/main" id="{13DE0C56-CD43-4F3E-891F-00BDC9060C9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256" name="BC$K$541#GR">
              <a:extLst>
                <a:ext uri="{FF2B5EF4-FFF2-40B4-BE49-F238E27FC236}">
                  <a16:creationId xmlns:a16="http://schemas.microsoft.com/office/drawing/2014/main" id="{D9F6C609-084E-4627-BBBB-E5291210770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254" name="BC$K$541#GR">
                <a:extLst>
                  <a:ext uri="{FF2B5EF4-FFF2-40B4-BE49-F238E27FC236}">
                    <a16:creationId xmlns:a16="http://schemas.microsoft.com/office/drawing/2014/main" id="{32BB8ABA-0FCB-458D-A536-2CCE1924C4D6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252" name="BC$K$541#GR">
                  <a:extLst>
                    <a:ext uri="{FF2B5EF4-FFF2-40B4-BE49-F238E27FC236}">
                      <a16:creationId xmlns:a16="http://schemas.microsoft.com/office/drawing/2014/main" id="{3C82B6FC-79DE-4893-9C7A-9F81D0BCCDCC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250" name="BC$K$541#GR">
                    <a:extLst>
                      <a:ext uri="{FF2B5EF4-FFF2-40B4-BE49-F238E27FC236}">
                        <a16:creationId xmlns:a16="http://schemas.microsoft.com/office/drawing/2014/main" id="{697D9546-9532-421B-AFA4-F0414E2BC30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248" name="BC$K$541#GR">
                      <a:extLst>
                        <a:ext uri="{FF2B5EF4-FFF2-40B4-BE49-F238E27FC236}">
                          <a16:creationId xmlns:a16="http://schemas.microsoft.com/office/drawing/2014/main" id="{533016ED-6393-4598-A76C-B54D5C4FFA6A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246" name="BC$K$541#GR">
                        <a:extLst>
                          <a:ext uri="{FF2B5EF4-FFF2-40B4-BE49-F238E27FC236}">
                            <a16:creationId xmlns:a16="http://schemas.microsoft.com/office/drawing/2014/main" id="{829071B1-2DE7-4885-9516-F09E704A2E6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244" name="BC$K$541#GR">
                          <a:extLst>
                            <a:ext uri="{FF2B5EF4-FFF2-40B4-BE49-F238E27FC236}">
                              <a16:creationId xmlns:a16="http://schemas.microsoft.com/office/drawing/2014/main" id="{6E5E49E7-86FD-4644-B8E2-5A11FD861A16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242" name="BC$K$541#GR">
                            <a:extLst>
                              <a:ext uri="{FF2B5EF4-FFF2-40B4-BE49-F238E27FC236}">
                                <a16:creationId xmlns:a16="http://schemas.microsoft.com/office/drawing/2014/main" id="{70B68730-BB79-4545-B9D1-2F5DE29A5B9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6240" name="BC$K$541#GR">
                              <a:extLst>
                                <a:ext uri="{FF2B5EF4-FFF2-40B4-BE49-F238E27FC236}">
                                  <a16:creationId xmlns:a16="http://schemas.microsoft.com/office/drawing/2014/main" id="{055835D1-D009-40B8-980B-1B2A4BE1141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6238" name="BC$K$541#GR">
                                <a:extLst>
                                  <a:ext uri="{FF2B5EF4-FFF2-40B4-BE49-F238E27FC236}">
                                    <a16:creationId xmlns:a16="http://schemas.microsoft.com/office/drawing/2014/main" id="{73F0A38D-E518-4884-8F05-4701A13C5D29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6236" name="BC$K$541#GR">
                                  <a:extLst>
                                    <a:ext uri="{FF2B5EF4-FFF2-40B4-BE49-F238E27FC236}">
                                      <a16:creationId xmlns:a16="http://schemas.microsoft.com/office/drawing/2014/main" id="{842A44F3-5027-49ED-8BB2-3FB7D9D169CF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6234" name="BC$K$541#GR">
                                    <a:extLst>
                                      <a:ext uri="{FF2B5EF4-FFF2-40B4-BE49-F238E27FC236}">
                                        <a16:creationId xmlns:a16="http://schemas.microsoft.com/office/drawing/2014/main" id="{11D2FF20-86F1-431E-86A8-3B55C21C07F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6232" name="BC$K$541#GR">
                                      <a:extLst>
                                        <a:ext uri="{FF2B5EF4-FFF2-40B4-BE49-F238E27FC236}">
                                          <a16:creationId xmlns:a16="http://schemas.microsoft.com/office/drawing/2014/main" id="{B22A2C29-EB56-4115-8993-13468CA4A2DC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6230" name="BC$K$54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E60D2D46-44D0-491A-AB01-99ACD044F105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6228" name="BC$K$54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E1E0939-0B7F-4DF6-AC8A-B5C68B2F25D9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6226" name="BC$K$54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710F3A9-31F2-4849-B155-080E70902A36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6224" name="BC$K$54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08A3882-2B2B-42D0-A4B7-6B935E55E175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6222" name="BC$K$54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9401398-AC6E-459A-8E7E-CBF132FFDFB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6220" name="BC$K$54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6F4D728-3FCC-46FF-9E13-69B6B054D90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6218" name="BC$K$54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4F056E8-3EA6-4477-ADCD-CBD751E03F9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6216" name="BC$K$54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BED804D-25A3-4D00-A359-E93A770AE80A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6214" name="BC$K$54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AC9578D-4E60-45FB-B76B-B091D39DA33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6212" name="BC$K$54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EE45FDE-FB6E-48CE-AF6B-33E27DFEB06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6210" name="BC$K$54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D670F755-8EBE-4C2C-A811-5A4902A5222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6208" name="BC$K$54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CE5B1BD-60B7-4634-86B0-91F9F903A4E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6206" name="BC$K$54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3769729C-7D9C-4C8E-9876-A43ABD30E48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6204" name="BC$K$54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C8F2883-6B01-4AF7-B8B4-E772091742C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6202" name="BC$K$54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7C3E726-D8B7-4C83-9F00-6B2BFD30BF79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6200" name="BC$K$54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F6D947C-98BD-468E-889F-B74DAF27C55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6198" name="BC$K$54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F90BF79F-F0D9-4E39-9DA7-908F631FB962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6196" name="BC$K$54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F5E36AF-D8B5-4884-A35A-5E2E409B705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6194" name="BC$K$54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0A9883C-F084-4746-A3B6-6A020A22E441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6192" name="BC$K$54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5692FE1-8F45-42F9-84DC-CC67BCE86D6B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6190" name="BC$K$54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22D2C8C-10FA-4172-BAAF-D738F51E962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6188" name="BC$K$54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71AC37C7-FC7C-4BAE-BC59-F15916ED37C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186" name="BC$K$541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A151B30-4712-4D57-B856-8D9AACD9136F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187" name="BC$K$541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2F80588-3925-4A7B-B9EB-805FE2C70DF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6189" name="BC$K$541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22857710-9E21-4CC6-B92D-543DF1C3AFA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6191" name="BC$K$541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691DB49-1B90-41F8-B285-EF0E68AABC7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6193" name="BC$K$541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E4DF47F-B43A-4DA4-8875-1FB84A88352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6195" name="BC$K$541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216F3FC-60CD-4CCC-B69E-70345871A9F8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6197" name="BC$K$541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43E3AF52-EC92-4DB0-B530-692AC691A00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6199" name="BC$K$541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E69FC14-C3FB-4CC3-84E6-A530606BEA5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6201" name="BC$K$541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A46FE5D-EC92-4619-A1DA-60348B2D28D7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6203" name="BC$K$541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63DB5C60-FB0B-4FE7-994E-B737A9BFFD6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6205" name="BC$K$541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95509B04-39CB-4B08-B5C3-0EE74813C316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6207" name="BC$K$541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BBF979C-8516-4F83-8505-877C54BD84E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6209" name="BC$K$541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63AD5A3A-25D0-4832-88D9-CCE075172FCD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6211" name="BC$K$541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814BFB0-F357-4AE6-B1E4-9FF5A9168077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6213" name="BC$K$541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2C3747E-3677-4AAC-8CD3-2AA64C5F211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6215" name="BC$K$541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97C3247D-1214-493F-A01C-2B8ACDDCB756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6217" name="BC$K$541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437B141-41B5-4E41-AB55-5961EE70B661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6219" name="BC$K$541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B98C95E-FF76-4BCD-ADDD-8E3C3751EC1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6221" name="BC$K$541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A82013F-F2AA-4275-80F7-0D10F5566D3A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6223" name="BC$K$541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3CE848D-613C-442D-BEF0-A74336606D1B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6225" name="BC$K$541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5EC2092F-D777-41E6-AF14-EE9D54B26544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6227" name="BC$K$541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1C4E231-21BF-4804-A42B-3B0043CDF21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6229" name="BC$K$541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7F309E0-7CAA-4672-9D83-D35DBC65FD77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6231" name="BC$K$541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4E18823-0C54-4931-95F2-B7AEE4027E08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6233" name="BC$K$541#BR24">
                                      <a:extLst>
                                        <a:ext uri="{FF2B5EF4-FFF2-40B4-BE49-F238E27FC236}">
                                          <a16:creationId xmlns:a16="http://schemas.microsoft.com/office/drawing/2014/main" id="{80DF8ECB-E503-4893-86A4-75D1BE387467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6235" name="BC$K$541#BR25">
                                    <a:extLst>
                                      <a:ext uri="{FF2B5EF4-FFF2-40B4-BE49-F238E27FC236}">
                                        <a16:creationId xmlns:a16="http://schemas.microsoft.com/office/drawing/2014/main" id="{F3DBB8A0-23CB-4D48-A893-A28AD7876F2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6237" name="BC$K$541#BR26">
                                  <a:extLst>
                                    <a:ext uri="{FF2B5EF4-FFF2-40B4-BE49-F238E27FC236}">
                                      <a16:creationId xmlns:a16="http://schemas.microsoft.com/office/drawing/2014/main" id="{0E2CCD5E-54A6-4710-B5CF-442C0F28BA21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6239" name="BC$K$541#BR27">
                                <a:extLst>
                                  <a:ext uri="{FF2B5EF4-FFF2-40B4-BE49-F238E27FC236}">
                                    <a16:creationId xmlns:a16="http://schemas.microsoft.com/office/drawing/2014/main" id="{5C95D24A-29C1-405E-B64F-1E43B2E3E7C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6241" name="BC$K$541#BR28">
                              <a:extLst>
                                <a:ext uri="{FF2B5EF4-FFF2-40B4-BE49-F238E27FC236}">
                                  <a16:creationId xmlns:a16="http://schemas.microsoft.com/office/drawing/2014/main" id="{BACAA9E9-AA62-4FA7-A5C0-73B0D6CCD46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243" name="BC$K$541#BR29">
                            <a:extLst>
                              <a:ext uri="{FF2B5EF4-FFF2-40B4-BE49-F238E27FC236}">
                                <a16:creationId xmlns:a16="http://schemas.microsoft.com/office/drawing/2014/main" id="{978D35EB-C1C6-4B4E-BF26-2064661895B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245" name="BC$K$541#BR30">
                          <a:extLst>
                            <a:ext uri="{FF2B5EF4-FFF2-40B4-BE49-F238E27FC236}">
                              <a16:creationId xmlns:a16="http://schemas.microsoft.com/office/drawing/2014/main" id="{914B23C3-1A97-43F7-9E16-AC087B53896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247" name="BC$K$541#BR31">
                        <a:extLst>
                          <a:ext uri="{FF2B5EF4-FFF2-40B4-BE49-F238E27FC236}">
                            <a16:creationId xmlns:a16="http://schemas.microsoft.com/office/drawing/2014/main" id="{C85B41ED-14E8-4AA2-9444-6B0FA1388C92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249" name="BC$K$541#BR32">
                      <a:extLst>
                        <a:ext uri="{FF2B5EF4-FFF2-40B4-BE49-F238E27FC236}">
                          <a16:creationId xmlns:a16="http://schemas.microsoft.com/office/drawing/2014/main" id="{4089FF80-1EFF-4C86-8126-65D4C8ECFE8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251" name="BC$K$541#BR33">
                    <a:extLst>
                      <a:ext uri="{FF2B5EF4-FFF2-40B4-BE49-F238E27FC236}">
                        <a16:creationId xmlns:a16="http://schemas.microsoft.com/office/drawing/2014/main" id="{791B4A08-6825-4DAE-8E13-3BC18A851682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253" name="BC$K$541#BR34">
                  <a:extLst>
                    <a:ext uri="{FF2B5EF4-FFF2-40B4-BE49-F238E27FC236}">
                      <a16:creationId xmlns:a16="http://schemas.microsoft.com/office/drawing/2014/main" id="{ADFC9FE6-4590-4BE8-A1F4-856A9E5EE5A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255" name="BC$K$541#BR35">
                <a:extLst>
                  <a:ext uri="{FF2B5EF4-FFF2-40B4-BE49-F238E27FC236}">
                    <a16:creationId xmlns:a16="http://schemas.microsoft.com/office/drawing/2014/main" id="{7D793F71-0BC0-4201-AD9F-2F561E1CA9E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257" name="BC$K$541#BR36">
              <a:extLst>
                <a:ext uri="{FF2B5EF4-FFF2-40B4-BE49-F238E27FC236}">
                  <a16:creationId xmlns:a16="http://schemas.microsoft.com/office/drawing/2014/main" id="{31806995-1248-46B3-8AC4-83A4007D5C51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259" name="BC$K$541#BR37">
            <a:extLst>
              <a:ext uri="{FF2B5EF4-FFF2-40B4-BE49-F238E27FC236}">
                <a16:creationId xmlns:a16="http://schemas.microsoft.com/office/drawing/2014/main" id="{7ABC9F36-45F3-4D4A-8002-B4D083510DA0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547</xdr:row>
      <xdr:rowOff>9525</xdr:rowOff>
    </xdr:from>
    <xdr:to>
      <xdr:col>27</xdr:col>
      <xdr:colOff>190500</xdr:colOff>
      <xdr:row>549</xdr:row>
      <xdr:rowOff>9525</xdr:rowOff>
    </xdr:to>
    <xdr:grpSp>
      <xdr:nvGrpSpPr>
        <xdr:cNvPr id="16335" name="BC$Y$541#GR">
          <a:extLst>
            <a:ext uri="{FF2B5EF4-FFF2-40B4-BE49-F238E27FC236}">
              <a16:creationId xmlns:a16="http://schemas.microsoft.com/office/drawing/2014/main" id="{B3799DCC-ECCF-4017-A500-91B5616AE0A4}"/>
            </a:ext>
          </a:extLst>
        </xdr:cNvPr>
        <xdr:cNvGrpSpPr/>
      </xdr:nvGrpSpPr>
      <xdr:grpSpPr>
        <a:xfrm>
          <a:off x="5772150" y="104117775"/>
          <a:ext cx="381000" cy="381000"/>
          <a:chOff x="0" y="0"/>
          <a:chExt cx="381000" cy="381000"/>
        </a:xfrm>
      </xdr:grpSpPr>
      <xdr:grpSp>
        <xdr:nvGrpSpPr>
          <xdr:cNvPr id="16333" name="BC$Y$541#GR">
            <a:extLst>
              <a:ext uri="{FF2B5EF4-FFF2-40B4-BE49-F238E27FC236}">
                <a16:creationId xmlns:a16="http://schemas.microsoft.com/office/drawing/2014/main" id="{5937D01A-D22A-44B2-A3BE-36FED3D0FBB9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331" name="BC$Y$541#GR">
              <a:extLst>
                <a:ext uri="{FF2B5EF4-FFF2-40B4-BE49-F238E27FC236}">
                  <a16:creationId xmlns:a16="http://schemas.microsoft.com/office/drawing/2014/main" id="{0C424D04-4EF5-4B37-A2A1-E144AA80AEC9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329" name="BC$Y$541#GR">
                <a:extLst>
                  <a:ext uri="{FF2B5EF4-FFF2-40B4-BE49-F238E27FC236}">
                    <a16:creationId xmlns:a16="http://schemas.microsoft.com/office/drawing/2014/main" id="{CB1CD0BD-64ED-4839-9275-3D89C796DBE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327" name="BC$Y$541#GR">
                  <a:extLst>
                    <a:ext uri="{FF2B5EF4-FFF2-40B4-BE49-F238E27FC236}">
                      <a16:creationId xmlns:a16="http://schemas.microsoft.com/office/drawing/2014/main" id="{CB7DB52A-5EAD-4D67-9A49-DCE6FCB42862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325" name="BC$Y$541#GR">
                    <a:extLst>
                      <a:ext uri="{FF2B5EF4-FFF2-40B4-BE49-F238E27FC236}">
                        <a16:creationId xmlns:a16="http://schemas.microsoft.com/office/drawing/2014/main" id="{5A2B9BCA-F6E6-4E03-9B49-167C13ED3F6D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323" name="BC$Y$541#GR">
                      <a:extLst>
                        <a:ext uri="{FF2B5EF4-FFF2-40B4-BE49-F238E27FC236}">
                          <a16:creationId xmlns:a16="http://schemas.microsoft.com/office/drawing/2014/main" id="{8447BDA9-BA5B-445F-B83C-679447207C7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321" name="BC$Y$541#GR">
                        <a:extLst>
                          <a:ext uri="{FF2B5EF4-FFF2-40B4-BE49-F238E27FC236}">
                            <a16:creationId xmlns:a16="http://schemas.microsoft.com/office/drawing/2014/main" id="{BC6BB7EB-875B-444F-B7D0-2109E8FFCD5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319" name="BC$Y$541#GR">
                          <a:extLst>
                            <a:ext uri="{FF2B5EF4-FFF2-40B4-BE49-F238E27FC236}">
                              <a16:creationId xmlns:a16="http://schemas.microsoft.com/office/drawing/2014/main" id="{941E9168-B735-49FF-9014-C4DC9A9E20E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317" name="BC$Y$541#GR">
                            <a:extLst>
                              <a:ext uri="{FF2B5EF4-FFF2-40B4-BE49-F238E27FC236}">
                                <a16:creationId xmlns:a16="http://schemas.microsoft.com/office/drawing/2014/main" id="{EC1BF845-FE91-4518-8FC2-3C7743C8053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6315" name="BC$Y$541#GR">
                              <a:extLst>
                                <a:ext uri="{FF2B5EF4-FFF2-40B4-BE49-F238E27FC236}">
                                  <a16:creationId xmlns:a16="http://schemas.microsoft.com/office/drawing/2014/main" id="{76C3FC53-B816-4EB8-9CE7-FCE5AA3C3A5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6313" name="BC$Y$541#GR">
                                <a:extLst>
                                  <a:ext uri="{FF2B5EF4-FFF2-40B4-BE49-F238E27FC236}">
                                    <a16:creationId xmlns:a16="http://schemas.microsoft.com/office/drawing/2014/main" id="{E0E4F6D3-FE35-4792-89EB-AE2C6D19839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6311" name="BC$Y$541#GR">
                                  <a:extLst>
                                    <a:ext uri="{FF2B5EF4-FFF2-40B4-BE49-F238E27FC236}">
                                      <a16:creationId xmlns:a16="http://schemas.microsoft.com/office/drawing/2014/main" id="{5CBECD07-6B0E-4624-B9EA-6484947B3D86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6309" name="BC$Y$541#GR">
                                    <a:extLst>
                                      <a:ext uri="{FF2B5EF4-FFF2-40B4-BE49-F238E27FC236}">
                                        <a16:creationId xmlns:a16="http://schemas.microsoft.com/office/drawing/2014/main" id="{6A6CBC75-EA8A-4079-BCA5-1DCA676DEA5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6307" name="BC$Y$541#GR">
                                      <a:extLst>
                                        <a:ext uri="{FF2B5EF4-FFF2-40B4-BE49-F238E27FC236}">
                                          <a16:creationId xmlns:a16="http://schemas.microsoft.com/office/drawing/2014/main" id="{1D210573-27B3-4CB0-B591-EE1A106A290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6305" name="BC$Y$54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1249091-9A12-4772-8A56-A27A7D1B9C92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6303" name="BC$Y$54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520A836-C329-42B1-85A3-E1D493E42A6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6301" name="BC$Y$54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DBA277B-18D4-40F6-952D-BC30ADE328FE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6299" name="BC$Y$54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889128D2-47B7-4A4A-A821-2DE6143AED62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6297" name="BC$Y$54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3F33E11D-2A5E-44A8-B1BF-EEBF5245B3F8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6295" name="BC$Y$54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92BC51D-F93B-4CE1-AA8E-B7A63DF8ED1C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6293" name="BC$Y$54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5F6EB75-ED9E-431E-B474-03D8E0E847E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6291" name="BC$Y$54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1CF8009-600A-4604-8DAE-D007107BD6A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6289" name="BC$Y$54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F7DA553-5F92-4C82-8EE8-BFE3B0322E2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6287" name="BC$Y$54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7E80F0C1-DA59-4D0B-9D96-C92EAC4766A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6285" name="BC$Y$54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2AA566F6-1E4C-4688-A502-2D2DB944D2A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6283" name="BC$Y$54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F7EA00B-6103-4352-B0CF-B7C2F25F7DF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6281" name="BC$Y$54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968E765-495F-4593-9B2E-DF1EBF74874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6279" name="BC$Y$54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49FE5CC-5B3D-4F5F-A0FC-CD8FE436B8D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6277" name="BC$Y$54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182D3A25-7DEC-42FA-B4B4-F6AB4BCC325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6275" name="BC$Y$54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AC93E00-F133-4376-A553-AB891E57AA79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6273" name="BC$Y$54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1A783A2-528E-4611-AAAD-55D02CA285E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6271" name="BC$Y$54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A0C0FA2-FC6D-44A2-91C8-355DFFF3A80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6269" name="BC$Y$54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13E62F0-57BD-479C-9ED3-38375FE9E75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6267" name="BC$Y$54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9E5EB288-E901-4F07-A463-32347A65D61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6265" name="BC$Y$54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6A87A6A-60A9-44F9-B44D-A29BD4DAE55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6263" name="BC$Y$54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AD62748-D99B-4FD6-A123-066472A1E0A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261" name="BC$Y$541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4A042302-5E09-4E27-91FC-C1C010FC031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262" name="BC$Y$541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944A5843-FFD9-4833-8B3A-9906F27F290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6264" name="BC$Y$541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B365290E-A157-4009-8C61-41AF78A5D87A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6266" name="BC$Y$541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CACD075-49F1-4242-AFA8-CCCFDD2E5F36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6268" name="BC$Y$541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C7A745C1-CD9E-4F28-8EAC-B783A12E843A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6270" name="BC$Y$541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BA6AC3A-51CC-4D3D-B1A6-808BC0A71FC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6272" name="BC$Y$541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1ACE466-402E-493F-8A2C-DA88D121997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6274" name="BC$Y$541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44E4F2C-81DB-45B6-8C20-8BC313F1B96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6276" name="BC$Y$541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1551408-000D-4929-89AA-F0337B54702B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6278" name="BC$Y$541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5B121EE-5DBE-44D3-A967-BB3AFE747D9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6280" name="BC$Y$541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3992E394-B7BD-4942-8258-69F6FC681D8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6282" name="BC$Y$541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8C693A9-2183-42A5-BC2D-58F689860A7B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6284" name="BC$Y$541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03321A0-5DAF-4360-AC05-00471D0BE97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6286" name="BC$Y$541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4F55197-C064-45FF-83C4-A5A34EA3569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6288" name="BC$Y$541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A5E02D1-895D-4236-8BD8-355E845C684F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6290" name="BC$Y$541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F4BE856-D7DB-476A-A6B7-F6D61276AA0A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6292" name="BC$Y$541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0523598-0BD6-42A6-96CB-9D73B996B884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6294" name="BC$Y$541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89F3690-0B14-4FA2-9BBF-03FC3248679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6296" name="BC$Y$541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FB778213-DF8C-484F-BBBC-15E64478FBB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6298" name="BC$Y$541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37BA321-6BB8-4E5F-908B-017733FB7F80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6300" name="BC$Y$541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9E6DE2CC-5D20-42C5-BACE-74D016497DDF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6302" name="BC$Y$541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EC3F21D-A463-4941-A222-7EDB4EBEF1D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6304" name="BC$Y$541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77C38D6-33D9-4148-976D-A90F62FFB06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6306" name="BC$Y$541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2D49407-A5DF-4DC0-92FC-939E319C14A3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6308" name="BC$Y$541#BR24">
                                      <a:extLst>
                                        <a:ext uri="{FF2B5EF4-FFF2-40B4-BE49-F238E27FC236}">
                                          <a16:creationId xmlns:a16="http://schemas.microsoft.com/office/drawing/2014/main" id="{A8D90512-AF3E-4420-806B-AEAC70738AA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6310" name="BC$Y$541#BR25">
                                    <a:extLst>
                                      <a:ext uri="{FF2B5EF4-FFF2-40B4-BE49-F238E27FC236}">
                                        <a16:creationId xmlns:a16="http://schemas.microsoft.com/office/drawing/2014/main" id="{BE370D17-F2EC-488B-A2C2-2BB7A4A7F10D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6312" name="BC$Y$541#BR26">
                                  <a:extLst>
                                    <a:ext uri="{FF2B5EF4-FFF2-40B4-BE49-F238E27FC236}">
                                      <a16:creationId xmlns:a16="http://schemas.microsoft.com/office/drawing/2014/main" id="{E66C7560-7029-4B14-A219-551C87D4748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6314" name="BC$Y$541#BR27">
                                <a:extLst>
                                  <a:ext uri="{FF2B5EF4-FFF2-40B4-BE49-F238E27FC236}">
                                    <a16:creationId xmlns:a16="http://schemas.microsoft.com/office/drawing/2014/main" id="{AF938D52-EC3A-4367-A925-E57CB68D39C3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6316" name="BC$Y$541#BR28">
                              <a:extLst>
                                <a:ext uri="{FF2B5EF4-FFF2-40B4-BE49-F238E27FC236}">
                                  <a16:creationId xmlns:a16="http://schemas.microsoft.com/office/drawing/2014/main" id="{B10FC664-7BD8-4CE3-B3B0-A6A02D967C3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318" name="BC$Y$541#BR29">
                            <a:extLst>
                              <a:ext uri="{FF2B5EF4-FFF2-40B4-BE49-F238E27FC236}">
                                <a16:creationId xmlns:a16="http://schemas.microsoft.com/office/drawing/2014/main" id="{9A14C3F0-3573-451D-9751-E7D0891C443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320" name="BC$Y$541#BR30">
                          <a:extLst>
                            <a:ext uri="{FF2B5EF4-FFF2-40B4-BE49-F238E27FC236}">
                              <a16:creationId xmlns:a16="http://schemas.microsoft.com/office/drawing/2014/main" id="{39A896FE-DCDB-4084-B327-580A2EBBF52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322" name="BC$Y$541#BR31">
                        <a:extLst>
                          <a:ext uri="{FF2B5EF4-FFF2-40B4-BE49-F238E27FC236}">
                            <a16:creationId xmlns:a16="http://schemas.microsoft.com/office/drawing/2014/main" id="{28AF4A97-2ACD-485C-8150-7C6B40DA4C42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324" name="BC$Y$541#BR32">
                      <a:extLst>
                        <a:ext uri="{FF2B5EF4-FFF2-40B4-BE49-F238E27FC236}">
                          <a16:creationId xmlns:a16="http://schemas.microsoft.com/office/drawing/2014/main" id="{839F5ECE-71FE-4342-A029-ADAC9459888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326" name="BC$Y$541#BR33">
                    <a:extLst>
                      <a:ext uri="{FF2B5EF4-FFF2-40B4-BE49-F238E27FC236}">
                        <a16:creationId xmlns:a16="http://schemas.microsoft.com/office/drawing/2014/main" id="{9488A12B-93D1-451B-BA19-C8D9B9532C6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328" name="BC$Y$541#BR34">
                  <a:extLst>
                    <a:ext uri="{FF2B5EF4-FFF2-40B4-BE49-F238E27FC236}">
                      <a16:creationId xmlns:a16="http://schemas.microsoft.com/office/drawing/2014/main" id="{6B9BB5C8-4731-45A7-80EF-B4D024752BB6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330" name="BC$Y$541#BR35">
                <a:extLst>
                  <a:ext uri="{FF2B5EF4-FFF2-40B4-BE49-F238E27FC236}">
                    <a16:creationId xmlns:a16="http://schemas.microsoft.com/office/drawing/2014/main" id="{829F0251-506E-4CE9-9AC0-D761D62862F2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332" name="BC$Y$541#BR36">
              <a:extLst>
                <a:ext uri="{FF2B5EF4-FFF2-40B4-BE49-F238E27FC236}">
                  <a16:creationId xmlns:a16="http://schemas.microsoft.com/office/drawing/2014/main" id="{ADD2C66D-1371-48FF-AB41-8C5D24DFAEA6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334" name="BC$Y$541#BR37">
            <a:extLst>
              <a:ext uri="{FF2B5EF4-FFF2-40B4-BE49-F238E27FC236}">
                <a16:creationId xmlns:a16="http://schemas.microsoft.com/office/drawing/2014/main" id="{95E63FA2-3E83-4566-B4A0-4A78C82D509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49306</xdr:colOff>
      <xdr:row>239</xdr:row>
      <xdr:rowOff>0</xdr:rowOff>
    </xdr:from>
    <xdr:to>
      <xdr:col>13</xdr:col>
      <xdr:colOff>211231</xdr:colOff>
      <xdr:row>241</xdr:row>
      <xdr:rowOff>0</xdr:rowOff>
    </xdr:to>
    <xdr:grpSp>
      <xdr:nvGrpSpPr>
        <xdr:cNvPr id="16336" name="BC$K$233#GR">
          <a:extLst>
            <a:ext uri="{FF2B5EF4-FFF2-40B4-BE49-F238E27FC236}">
              <a16:creationId xmlns:a16="http://schemas.microsoft.com/office/drawing/2014/main" id="{E85C9BE7-380C-4736-801B-D69AC6A62C7B}"/>
            </a:ext>
          </a:extLst>
        </xdr:cNvPr>
        <xdr:cNvGrpSpPr/>
      </xdr:nvGrpSpPr>
      <xdr:grpSpPr>
        <a:xfrm>
          <a:off x="2678206" y="45434250"/>
          <a:ext cx="381000" cy="381000"/>
          <a:chOff x="0" y="0"/>
          <a:chExt cx="381000" cy="381000"/>
        </a:xfrm>
      </xdr:grpSpPr>
      <xdr:grpSp>
        <xdr:nvGrpSpPr>
          <xdr:cNvPr id="16337" name="BC$K$233#GR">
            <a:extLst>
              <a:ext uri="{FF2B5EF4-FFF2-40B4-BE49-F238E27FC236}">
                <a16:creationId xmlns:a16="http://schemas.microsoft.com/office/drawing/2014/main" id="{D34DB1BE-7884-40BA-8AEA-E275944544A5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339" name="BC$K$233#GR">
              <a:extLst>
                <a:ext uri="{FF2B5EF4-FFF2-40B4-BE49-F238E27FC236}">
                  <a16:creationId xmlns:a16="http://schemas.microsoft.com/office/drawing/2014/main" id="{D99078B9-B5C3-439D-8B17-5F9D0A705B6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341" name="BC$K$233#GR">
                <a:extLst>
                  <a:ext uri="{FF2B5EF4-FFF2-40B4-BE49-F238E27FC236}">
                    <a16:creationId xmlns:a16="http://schemas.microsoft.com/office/drawing/2014/main" id="{8308949E-73ED-40EC-9C27-9EFE832687BE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343" name="BC$K$233#GR">
                  <a:extLst>
                    <a:ext uri="{FF2B5EF4-FFF2-40B4-BE49-F238E27FC236}">
                      <a16:creationId xmlns:a16="http://schemas.microsoft.com/office/drawing/2014/main" id="{686B42F0-7DC2-41F3-B414-D2D29C4C9E0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345" name="BC$K$233#GR">
                    <a:extLst>
                      <a:ext uri="{FF2B5EF4-FFF2-40B4-BE49-F238E27FC236}">
                        <a16:creationId xmlns:a16="http://schemas.microsoft.com/office/drawing/2014/main" id="{4AED38D7-0CA3-45D8-8B45-1E4EE9D91D74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347" name="BC$K$233#GR">
                      <a:extLst>
                        <a:ext uri="{FF2B5EF4-FFF2-40B4-BE49-F238E27FC236}">
                          <a16:creationId xmlns:a16="http://schemas.microsoft.com/office/drawing/2014/main" id="{8E938689-F6A7-4A1B-83C0-1A602E97AACE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349" name="BC$K$233#GR">
                        <a:extLst>
                          <a:ext uri="{FF2B5EF4-FFF2-40B4-BE49-F238E27FC236}">
                            <a16:creationId xmlns:a16="http://schemas.microsoft.com/office/drawing/2014/main" id="{0991C2C9-0290-4D95-AB4B-13C5E5479A3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351" name="BC$K$233#GR">
                          <a:extLst>
                            <a:ext uri="{FF2B5EF4-FFF2-40B4-BE49-F238E27FC236}">
                              <a16:creationId xmlns:a16="http://schemas.microsoft.com/office/drawing/2014/main" id="{CD87DAE0-4E23-48B6-8EF2-923B5FC4BA8C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353" name="BC$K$233#GR">
                            <a:extLst>
                              <a:ext uri="{FF2B5EF4-FFF2-40B4-BE49-F238E27FC236}">
                                <a16:creationId xmlns:a16="http://schemas.microsoft.com/office/drawing/2014/main" id="{38DCB047-1EF3-430D-9248-B0B5C5CCBFF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6355" name="BC$K$233#GR">
                              <a:extLst>
                                <a:ext uri="{FF2B5EF4-FFF2-40B4-BE49-F238E27FC236}">
                                  <a16:creationId xmlns:a16="http://schemas.microsoft.com/office/drawing/2014/main" id="{2EC6E1F0-688F-4BA1-B4EE-ADBDC4DD8F8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6357" name="BC$K$233#GR">
                                <a:extLst>
                                  <a:ext uri="{FF2B5EF4-FFF2-40B4-BE49-F238E27FC236}">
                                    <a16:creationId xmlns:a16="http://schemas.microsoft.com/office/drawing/2014/main" id="{68B19C38-A03B-4985-AA18-E873452FDA19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6359" name="BC$K$233#GR">
                                  <a:extLst>
                                    <a:ext uri="{FF2B5EF4-FFF2-40B4-BE49-F238E27FC236}">
                                      <a16:creationId xmlns:a16="http://schemas.microsoft.com/office/drawing/2014/main" id="{9260871C-6EE5-464D-9165-7A69AB504451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6361" name="BC$K$233#GR">
                                    <a:extLst>
                                      <a:ext uri="{FF2B5EF4-FFF2-40B4-BE49-F238E27FC236}">
                                        <a16:creationId xmlns:a16="http://schemas.microsoft.com/office/drawing/2014/main" id="{4B4F2FE6-D6B5-44CB-8E67-EA2A7576195E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6363" name="BC$K$233#GR">
                                      <a:extLst>
                                        <a:ext uri="{FF2B5EF4-FFF2-40B4-BE49-F238E27FC236}">
                                          <a16:creationId xmlns:a16="http://schemas.microsoft.com/office/drawing/2014/main" id="{224A767E-8E41-4B99-B86C-7C453EAB18A1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6365" name="BC$K$233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D3390067-EEAB-41CA-B587-9013523DB79F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6367" name="BC$K$233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2887277-F8BC-488D-B9FF-B5443CD1E895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6369" name="BC$K$233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18102E1-79E7-4AB7-BBC3-8509018EFC24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6371" name="BC$K$233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AB51CE38-C13F-4CDB-ABB8-DF69195F1288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6373" name="BC$K$233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6AAC60CA-3632-4786-A28B-06B85FDF0C6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6375" name="BC$K$233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ABC4B87-B933-45E8-A43C-CEB873837045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6377" name="BC$K$233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47D93EB-BC1E-4B48-94AD-F07D11859F48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6379" name="BC$K$233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6A8F9BB-C7C5-4C2E-9237-A7CAA76E398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6381" name="BC$K$233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B6CAF1E-4186-412C-A750-0C0B23DFA1D6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6383" name="BC$K$233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3D834CE-5E6B-45E0-9421-25CF6439AE0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6385" name="BC$K$233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18682CD-E0E6-4741-8DB3-64C89CEADA52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6387" name="BC$K$233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5B26ABD-DD16-494C-A9B1-1F5DE6D4648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6389" name="BC$K$233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564A86FC-4CB0-47E6-814A-8105F7B1B0FF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6391" name="BC$K$233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2859333-91A3-4EB6-9B9C-87A263E42A3F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6393" name="BC$K$233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ED4FABA-B841-4B68-84ED-85473084698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6395" name="BC$K$233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9E81D0A-3262-4597-B1DB-C6658058CCE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6397" name="BC$K$233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B2E3BF5-9F1D-4EAE-BC34-BD2FA216653E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6399" name="BC$K$233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885FA82F-C2E8-4DBB-B877-20E3F1CA205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6401" name="BC$K$233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6BC114B-0FF2-433B-B202-07A521F7C05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6403" name="BC$K$233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8D99C81-1924-41E0-A6FD-481A8AA9C15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6405" name="BC$K$233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63D357A-A040-4960-A71C-F10CD2531FB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6407" name="BC$K$233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68368E7-9D75-4377-9DF2-0FB1D018DA39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409" name="BC$K$233#BK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A874D4E-9D58-4055-9661-CC80ADC9DDD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FFFFFF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rgbClr val="FFFFFF"/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6410" name="BC$K$233#BR1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0D608B06-CB99-4D24-9407-027FA5717C34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31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6408" name="BC$K$233#BR2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B1B2D46-2D68-4D69-9ED8-BF4F98E2C36C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95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6406" name="BC$K$233#BR3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D39F138B-08F4-4D00-966E-0B235A999B5C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158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6404" name="BC$K$233#BR4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557824F-CAA5-4CCA-936B-502FC7EA607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222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6402" name="BC$K$233#BR5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4E00A6DB-ABB6-4943-95F0-DA45B595E6E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285750" y="317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6400" name="BC$K$233#BR6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F0B397F5-0951-4BF3-8C4E-457D39EED29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31750" y="635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6398" name="BC$K$233#BR7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F9193D2-3602-4B77-9EFF-ED51D5D415E9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3500" y="635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6396" name="BC$K$233#BR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B1078CEC-5866-4D30-B3B8-3C9C6F41CDA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8750" y="9525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6394" name="BC$K$233#BR9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30C9F58-95DF-4CB1-AB96-C59CF4F21942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190500" y="6350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6392" name="BC$K$233#BR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0AF7557-E50B-41C2-A382-655C21821421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90500" y="95250"/>
                                                                  <a:ext cx="6350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6390" name="BC$K$233#BR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89BFC09A-334A-4925-8B2D-159F091DFA89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85750" y="952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6388" name="BC$K$233#BR1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5E0A221-26A1-4D6F-970D-857B0FB5732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17500" y="63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6386" name="BC$K$233#BR1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6149637-B7E0-49D1-B4AF-FB2CB6B10FC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31750" y="1270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6384" name="BC$K$233#BR14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4E1B068-AD07-4EA5-BE2F-9852D137950A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270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6382" name="BC$K$233#BR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3496E1F-C029-4498-98A8-FC79EF4E77B9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58750" y="158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6380" name="BC$K$233#BR1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9C23BFB4-A44A-421E-BE63-2E2A293B4EA8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90500" y="1270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6378" name="BC$K$233#BR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B584106-76B3-4DD2-8184-4EF9107290BE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6376" name="BC$K$233#BR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CDF82D3-564F-4B8B-A4DF-4B483C60D12E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6374" name="BC$K$233#BR1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83E65BC-26E4-4C6A-949A-99AEF1196C51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6372" name="BC$K$233#BR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736EBEC-8C3F-4B4D-8812-5AADDB8EA11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6370" name="BC$K$233#BR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98A90AF-54B5-4CF3-A4CF-F7748F4DAD52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6368" name="BC$K$233#BR2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1221789-5CDB-46F3-A5C5-AC07AC07687C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22250" y="190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6366" name="BC$K$233#BR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17396E90-AC02-4E80-9D55-4133F93EC4A4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6364" name="BC$K$233#BR24">
                                      <a:extLst>
                                        <a:ext uri="{FF2B5EF4-FFF2-40B4-BE49-F238E27FC236}">
                                          <a16:creationId xmlns:a16="http://schemas.microsoft.com/office/drawing/2014/main" id="{34015CB2-F1D4-4BB2-88F9-952E29B72BDA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254000" y="22225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6362" name="BC$K$233#BR25">
                                    <a:extLst>
                                      <a:ext uri="{FF2B5EF4-FFF2-40B4-BE49-F238E27FC236}">
                                        <a16:creationId xmlns:a16="http://schemas.microsoft.com/office/drawing/2014/main" id="{2A50D7C3-A5C1-4330-8458-C3C6CE362DB1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0" y="190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6360" name="BC$K$233#BR26">
                                  <a:extLst>
                                    <a:ext uri="{FF2B5EF4-FFF2-40B4-BE49-F238E27FC236}">
                                      <a16:creationId xmlns:a16="http://schemas.microsoft.com/office/drawing/2014/main" id="{9077A35F-0199-4B63-861D-9E22D84BD3D5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750" y="254000"/>
                                  <a:ext cx="3175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6358" name="BC$K$233#BR27">
                                <a:extLst>
                                  <a:ext uri="{FF2B5EF4-FFF2-40B4-BE49-F238E27FC236}">
                                    <a16:creationId xmlns:a16="http://schemas.microsoft.com/office/drawing/2014/main" id="{5FCC12B8-5B5D-4E17-94DB-9302590F7BC1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6356" name="BC$K$233#BR28">
                              <a:extLst>
                                <a:ext uri="{FF2B5EF4-FFF2-40B4-BE49-F238E27FC236}">
                                  <a16:creationId xmlns:a16="http://schemas.microsoft.com/office/drawing/2014/main" id="{21AA803F-B164-4FD6-BECB-B6DA4C2A5E6A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63500" y="28575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354" name="BC$K$233#BR29">
                            <a:extLst>
                              <a:ext uri="{FF2B5EF4-FFF2-40B4-BE49-F238E27FC236}">
                                <a16:creationId xmlns:a16="http://schemas.microsoft.com/office/drawing/2014/main" id="{937C7268-ECB8-4B89-91BF-92BCFC6FD5D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27000" y="254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352" name="BC$K$233#BR30">
                          <a:extLst>
                            <a:ext uri="{FF2B5EF4-FFF2-40B4-BE49-F238E27FC236}">
                              <a16:creationId xmlns:a16="http://schemas.microsoft.com/office/drawing/2014/main" id="{E92500BA-63FC-411C-9893-253914680E4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350" name="BC$K$233#BR31">
                        <a:extLst>
                          <a:ext uri="{FF2B5EF4-FFF2-40B4-BE49-F238E27FC236}">
                            <a16:creationId xmlns:a16="http://schemas.microsoft.com/office/drawing/2014/main" id="{766103B2-ED47-4B1D-AD8A-79249D63331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348" name="BC$K$233#BR32">
                      <a:extLst>
                        <a:ext uri="{FF2B5EF4-FFF2-40B4-BE49-F238E27FC236}">
                          <a16:creationId xmlns:a16="http://schemas.microsoft.com/office/drawing/2014/main" id="{1F0D78E7-F420-4FF5-A359-B05EB5410C3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346" name="BC$K$233#BR33">
                    <a:extLst>
                      <a:ext uri="{FF2B5EF4-FFF2-40B4-BE49-F238E27FC236}">
                        <a16:creationId xmlns:a16="http://schemas.microsoft.com/office/drawing/2014/main" id="{0AE734ED-D605-4102-B008-53BC80D39B4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344" name="BC$K$233#BR34">
                  <a:extLst>
                    <a:ext uri="{FF2B5EF4-FFF2-40B4-BE49-F238E27FC236}">
                      <a16:creationId xmlns:a16="http://schemas.microsoft.com/office/drawing/2014/main" id="{4C976819-2D6B-46FB-AE6A-435816F9574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342" name="BC$K$233#BR35">
                <a:extLst>
                  <a:ext uri="{FF2B5EF4-FFF2-40B4-BE49-F238E27FC236}">
                    <a16:creationId xmlns:a16="http://schemas.microsoft.com/office/drawing/2014/main" id="{D99F03E3-710B-4EFA-93DF-233D8FF3D2E8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340" name="BC$K$233#BR36">
              <a:extLst>
                <a:ext uri="{FF2B5EF4-FFF2-40B4-BE49-F238E27FC236}">
                  <a16:creationId xmlns:a16="http://schemas.microsoft.com/office/drawing/2014/main" id="{0FFC5E10-BAED-4CEB-97B6-D21EC721188D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338" name="BC$K$233#BR37">
            <a:extLst>
              <a:ext uri="{FF2B5EF4-FFF2-40B4-BE49-F238E27FC236}">
                <a16:creationId xmlns:a16="http://schemas.microsoft.com/office/drawing/2014/main" id="{8403FB6F-226E-476A-8C88-E94A3B0F63A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36635</xdr:colOff>
      <xdr:row>107</xdr:row>
      <xdr:rowOff>0</xdr:rowOff>
    </xdr:from>
    <xdr:to>
      <xdr:col>13</xdr:col>
      <xdr:colOff>198560</xdr:colOff>
      <xdr:row>109</xdr:row>
      <xdr:rowOff>0</xdr:rowOff>
    </xdr:to>
    <xdr:grpSp>
      <xdr:nvGrpSpPr>
        <xdr:cNvPr id="14834" name="BC$K$101#GR">
          <a:extLst>
            <a:ext uri="{FF2B5EF4-FFF2-40B4-BE49-F238E27FC236}">
              <a16:creationId xmlns:a16="http://schemas.microsoft.com/office/drawing/2014/main" id="{AA6C4683-9A4C-499E-BF25-308F4C8A1AF9}"/>
            </a:ext>
          </a:extLst>
        </xdr:cNvPr>
        <xdr:cNvGrpSpPr/>
      </xdr:nvGrpSpPr>
      <xdr:grpSpPr>
        <a:xfrm>
          <a:off x="2665535" y="20288250"/>
          <a:ext cx="381000" cy="381000"/>
          <a:chOff x="0" y="0"/>
          <a:chExt cx="381000" cy="381000"/>
        </a:xfrm>
      </xdr:grpSpPr>
      <xdr:grpSp>
        <xdr:nvGrpSpPr>
          <xdr:cNvPr id="14832" name="BC$K$101#GR">
            <a:extLst>
              <a:ext uri="{FF2B5EF4-FFF2-40B4-BE49-F238E27FC236}">
                <a16:creationId xmlns:a16="http://schemas.microsoft.com/office/drawing/2014/main" id="{EE3F137F-078B-45B8-804E-B06FAFBA25FB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7672" name="BC$K$101#GR">
              <a:extLst>
                <a:ext uri="{FF2B5EF4-FFF2-40B4-BE49-F238E27FC236}">
                  <a16:creationId xmlns:a16="http://schemas.microsoft.com/office/drawing/2014/main" id="{C970E008-784B-45C2-9704-6BACBC2066B0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7670" name="BC$K$101#GR">
                <a:extLst>
                  <a:ext uri="{FF2B5EF4-FFF2-40B4-BE49-F238E27FC236}">
                    <a16:creationId xmlns:a16="http://schemas.microsoft.com/office/drawing/2014/main" id="{BC3CD60F-59E5-410A-9429-C45B603E569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7668" name="BC$K$101#GR">
                  <a:extLst>
                    <a:ext uri="{FF2B5EF4-FFF2-40B4-BE49-F238E27FC236}">
                      <a16:creationId xmlns:a16="http://schemas.microsoft.com/office/drawing/2014/main" id="{FFD4E73D-34FE-4106-A6D2-AED9E94BD296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7666" name="BC$K$101#GR">
                    <a:extLst>
                      <a:ext uri="{FF2B5EF4-FFF2-40B4-BE49-F238E27FC236}">
                        <a16:creationId xmlns:a16="http://schemas.microsoft.com/office/drawing/2014/main" id="{88573CE3-7169-4E98-9762-61581583B87D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7664" name="BC$K$101#GR">
                      <a:extLst>
                        <a:ext uri="{FF2B5EF4-FFF2-40B4-BE49-F238E27FC236}">
                          <a16:creationId xmlns:a16="http://schemas.microsoft.com/office/drawing/2014/main" id="{689DD476-011C-481E-816F-868E072663FD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7662" name="BC$K$101#GR">
                        <a:extLst>
                          <a:ext uri="{FF2B5EF4-FFF2-40B4-BE49-F238E27FC236}">
                            <a16:creationId xmlns:a16="http://schemas.microsoft.com/office/drawing/2014/main" id="{BCE618EB-5220-4B37-A4E1-5A0E54C7501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7660" name="BC$K$101#GR">
                          <a:extLst>
                            <a:ext uri="{FF2B5EF4-FFF2-40B4-BE49-F238E27FC236}">
                              <a16:creationId xmlns:a16="http://schemas.microsoft.com/office/drawing/2014/main" id="{968B760F-0C85-4458-8EE5-EFEB305BA74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7658" name="BC$K$101#GR">
                            <a:extLst>
                              <a:ext uri="{FF2B5EF4-FFF2-40B4-BE49-F238E27FC236}">
                                <a16:creationId xmlns:a16="http://schemas.microsoft.com/office/drawing/2014/main" id="{BBF283AA-5ED9-43D1-A5B2-97156E1F46A3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7656" name="BC$K$101#GR">
                              <a:extLst>
                                <a:ext uri="{FF2B5EF4-FFF2-40B4-BE49-F238E27FC236}">
                                  <a16:creationId xmlns:a16="http://schemas.microsoft.com/office/drawing/2014/main" id="{8E806742-0244-416A-AFAD-37CF2F2C7F5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7654" name="BC$K$101#GR">
                                <a:extLst>
                                  <a:ext uri="{FF2B5EF4-FFF2-40B4-BE49-F238E27FC236}">
                                    <a16:creationId xmlns:a16="http://schemas.microsoft.com/office/drawing/2014/main" id="{D1855649-F1D7-442F-BCFC-D7FB40806243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7652" name="BC$K$101#GR">
                                  <a:extLst>
                                    <a:ext uri="{FF2B5EF4-FFF2-40B4-BE49-F238E27FC236}">
                                      <a16:creationId xmlns:a16="http://schemas.microsoft.com/office/drawing/2014/main" id="{088446AE-6D43-4383-9E38-13AD48B3B3A5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7650" name="BC$K$101#GR">
                                    <a:extLst>
                                      <a:ext uri="{FF2B5EF4-FFF2-40B4-BE49-F238E27FC236}">
                                        <a16:creationId xmlns:a16="http://schemas.microsoft.com/office/drawing/2014/main" id="{E9F5774B-174B-4BA0-8692-E13D7EC22E3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7648" name="BC$K$101#GR">
                                      <a:extLst>
                                        <a:ext uri="{FF2B5EF4-FFF2-40B4-BE49-F238E27FC236}">
                                          <a16:creationId xmlns:a16="http://schemas.microsoft.com/office/drawing/2014/main" id="{B93C24CB-AE02-4DB9-9DE3-7048464AABCD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510" name="BC$K$10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CCB26BE-CB9D-4D4A-A3FD-A9BD762F81C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508" name="BC$K$10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4C4A2BD-374F-4203-ABA5-C9A6F1AF36F4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506" name="BC$K$10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CB4FD86-BC47-4DB4-8791-257308465734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504" name="BC$K$10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2DA0F98-0401-4829-BDF0-6607500662B6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502" name="BC$K$10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6E9B578-D16E-4170-B031-355C1DF95553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500" name="BC$K$10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98F7A0F-8378-4124-9833-416BEB32BA1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498" name="BC$K$10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F2629762-67B9-4C3C-9510-2D0162444E8F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496" name="BC$K$10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8BBA7EC-D756-433E-A1DA-3415E6F2C725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494" name="BC$K$10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12BDC9B-FD2B-4313-A922-CC69EDB3E694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492" name="BC$K$10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D3D1447F-8822-49BF-A14F-21B419B8DE67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30" name="BC$K$10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9C233C3C-798A-42F7-9D60-0601367DEDC1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8" name="BC$K$10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0D18F09-98C5-40FA-A995-96CD5E73075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6" name="BC$K$10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A8BC8FB-F6DE-456B-8EEA-6E7152EA4C93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24" name="BC$K$10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4EF99D14-9BFD-4F29-811E-89E88F1E1F6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2" name="BC$K$10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93786AEE-ADA6-4EFA-B4AA-60808F9A1283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20" name="BC$K$10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3CB9AACC-FB2B-44C4-B9CC-CC67F11F8CF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8" name="BC$K$10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BD351469-F727-4C0D-A17C-099FDC9CF39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6" name="BC$K$10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FF05C94-879C-48D8-B602-79E859C753A8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" name="BC$K$10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99EEE26C-416E-4A23-ABCA-A19090B7EC0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2" name="BC$K$10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F6D46EB-F629-4008-A005-470EE2DF993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0" name="BC$K$10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B1E7B98C-06B1-4562-A789-BC9EB194E90B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" name="BC$K$10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A97C763A-A551-4BD4-B5D3-8C086A1B140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6" name="BC$K$101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F20CCC54-5F5B-4482-8336-BAAE8B70D650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4" name="BC$K$101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2A51B3B-6510-4985-8B89-B632A82BB935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2" name="BC$K$101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FA093A01-9F54-4485-9915-7DBCAF0FCE2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3" name="BC$K$101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62F64D89-9B56-417C-A7ED-5BB93B852C5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5" name="BC$K$101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148AE12-6D78-42DF-B69E-EB2F3BE014C8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7" name="BC$K$101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E973662-748E-4656-B18A-D300A176962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" name="BC$K$101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01EA4301-3A71-4F14-8EC0-2960614E2E45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1" name="BC$K$101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F32B900-08E0-4AB9-8F24-FF83026D7B6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3" name="BC$K$101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AA17BD3-5E34-46F0-AA37-7F86B9BBAF3F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5" name="BC$K$101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4F262CE-1E32-421D-9AC7-1C31393E7E20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7" name="BC$K$101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9FFB011-F0C7-471E-851B-6B3773658B9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9" name="BC$K$101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1511E7A-8ED8-41C0-A66C-AE8AE5459E3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21" name="BC$K$101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18F9158-F9D2-461D-ADBD-97196AB0AB7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23" name="BC$K$101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EAB39D66-0870-42E3-8D7B-4688A25AB3C1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25" name="BC$K$101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1015475-6E6B-488F-A107-6663891E8DE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7" name="BC$K$101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DA92A60A-F9D9-47FA-BAE3-89BBC8BE0B6A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29" name="BC$K$101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576AF76-5D89-4638-9715-D53CBE190B6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31" name="BC$K$101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3E163D84-4ED0-4493-8B5F-B459AB18FD15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493" name="BC$K$101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359D4016-6D44-4D69-B2D4-54A880D1B15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495" name="BC$K$101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89D5BE93-D076-4C1E-8D51-D595C013069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497" name="BC$K$101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749F247D-622D-41C3-AC65-D311A3F7813C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499" name="BC$K$101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F97ED5B-2C0A-4BEA-A1AD-A2D08C18C4AB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501" name="BC$K$101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0F6278A-1C8A-498F-8838-68C4D2B4A28E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503" name="BC$K$101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EFE274A-1131-45FD-9A9F-CA97378C9710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505" name="BC$K$101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084D773-B217-44BD-ADE2-B6AE0C9F4F8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507" name="BC$K$101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BA950F0C-A091-43D6-ADBB-398875A6007A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509" name="BC$K$101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3C2917F8-985A-451F-8A8A-BD2587A4A9B6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511" name="BC$K$101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6C1C5FF-D043-4F81-9E60-1FB0E2F3D3DD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649" name="BC$K$101#BR26">
                                      <a:extLst>
                                        <a:ext uri="{FF2B5EF4-FFF2-40B4-BE49-F238E27FC236}">
                                          <a16:creationId xmlns:a16="http://schemas.microsoft.com/office/drawing/2014/main" id="{BE5F0DF6-5EE1-4EAA-AF6B-DC7314AA96A4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651" name="BC$K$101#BR27">
                                    <a:extLst>
                                      <a:ext uri="{FF2B5EF4-FFF2-40B4-BE49-F238E27FC236}">
                                        <a16:creationId xmlns:a16="http://schemas.microsoft.com/office/drawing/2014/main" id="{478FC8E7-4313-4248-8033-8E5D4F115CAE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653" name="BC$K$101#BR28">
                                  <a:extLst>
                                    <a:ext uri="{FF2B5EF4-FFF2-40B4-BE49-F238E27FC236}">
                                      <a16:creationId xmlns:a16="http://schemas.microsoft.com/office/drawing/2014/main" id="{B0B8D080-79B7-4DE7-A63F-0B52A3C404E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655" name="BC$K$101#BR29">
                                <a:extLst>
                                  <a:ext uri="{FF2B5EF4-FFF2-40B4-BE49-F238E27FC236}">
                                    <a16:creationId xmlns:a16="http://schemas.microsoft.com/office/drawing/2014/main" id="{83405C21-09AB-465E-858B-27C71DCD052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657" name="BC$K$101#BR30">
                              <a:extLst>
                                <a:ext uri="{FF2B5EF4-FFF2-40B4-BE49-F238E27FC236}">
                                  <a16:creationId xmlns:a16="http://schemas.microsoft.com/office/drawing/2014/main" id="{F4DBC599-BAB7-4064-B57A-2F8C3CE2B4E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7659" name="BC$K$101#BR31">
                            <a:extLst>
                              <a:ext uri="{FF2B5EF4-FFF2-40B4-BE49-F238E27FC236}">
                                <a16:creationId xmlns:a16="http://schemas.microsoft.com/office/drawing/2014/main" id="{241D61E2-6640-4EF7-BE2F-7F09D2E89A6A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7661" name="BC$K$101#BR32">
                          <a:extLst>
                            <a:ext uri="{FF2B5EF4-FFF2-40B4-BE49-F238E27FC236}">
                              <a16:creationId xmlns:a16="http://schemas.microsoft.com/office/drawing/2014/main" id="{B003CC43-3656-4C60-8EC3-58C17F42E19E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7663" name="BC$K$101#BR33">
                        <a:extLst>
                          <a:ext uri="{FF2B5EF4-FFF2-40B4-BE49-F238E27FC236}">
                            <a16:creationId xmlns:a16="http://schemas.microsoft.com/office/drawing/2014/main" id="{CDDCBE5D-E143-4B91-BA92-993D26BFAAB3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7665" name="BC$K$101#BR34">
                      <a:extLst>
                        <a:ext uri="{FF2B5EF4-FFF2-40B4-BE49-F238E27FC236}">
                          <a16:creationId xmlns:a16="http://schemas.microsoft.com/office/drawing/2014/main" id="{456B8FAE-6FA2-4D42-B83E-26FCE2018662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7667" name="BC$K$101#BR35">
                    <a:extLst>
                      <a:ext uri="{FF2B5EF4-FFF2-40B4-BE49-F238E27FC236}">
                        <a16:creationId xmlns:a16="http://schemas.microsoft.com/office/drawing/2014/main" id="{98CD9EE6-F7D3-4B53-8D33-2755026F6FE4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7669" name="BC$K$101#BR36">
                  <a:extLst>
                    <a:ext uri="{FF2B5EF4-FFF2-40B4-BE49-F238E27FC236}">
                      <a16:creationId xmlns:a16="http://schemas.microsoft.com/office/drawing/2014/main" id="{7F78BBE5-1DBD-4CA4-97D9-5AF4A4D39548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7671" name="BC$K$101#BR37">
                <a:extLst>
                  <a:ext uri="{FF2B5EF4-FFF2-40B4-BE49-F238E27FC236}">
                    <a16:creationId xmlns:a16="http://schemas.microsoft.com/office/drawing/2014/main" id="{BC8C966E-C614-466B-9490-1DF17D163991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7673" name="BC$K$101#BR38">
              <a:extLst>
                <a:ext uri="{FF2B5EF4-FFF2-40B4-BE49-F238E27FC236}">
                  <a16:creationId xmlns:a16="http://schemas.microsoft.com/office/drawing/2014/main" id="{747EDC27-CE94-4B6D-BE6D-3DE9E5F0B775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4833" name="BC$K$101#BR39">
            <a:extLst>
              <a:ext uri="{FF2B5EF4-FFF2-40B4-BE49-F238E27FC236}">
                <a16:creationId xmlns:a16="http://schemas.microsoft.com/office/drawing/2014/main" id="{0B283BCB-0D20-4873-AEC8-86AE8FA62AC8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36634</xdr:colOff>
      <xdr:row>107</xdr:row>
      <xdr:rowOff>7327</xdr:rowOff>
    </xdr:from>
    <xdr:to>
      <xdr:col>27</xdr:col>
      <xdr:colOff>198560</xdr:colOff>
      <xdr:row>109</xdr:row>
      <xdr:rowOff>7327</xdr:rowOff>
    </xdr:to>
    <xdr:grpSp>
      <xdr:nvGrpSpPr>
        <xdr:cNvPr id="1739" name="BC$Y$101#GR">
          <a:extLst>
            <a:ext uri="{FF2B5EF4-FFF2-40B4-BE49-F238E27FC236}">
              <a16:creationId xmlns:a16="http://schemas.microsoft.com/office/drawing/2014/main" id="{0CC9C72D-3E60-4C6C-BCE0-218040549FA6}"/>
            </a:ext>
          </a:extLst>
        </xdr:cNvPr>
        <xdr:cNvGrpSpPr/>
      </xdr:nvGrpSpPr>
      <xdr:grpSpPr>
        <a:xfrm>
          <a:off x="5780209" y="20295577"/>
          <a:ext cx="381001" cy="381000"/>
          <a:chOff x="0" y="0"/>
          <a:chExt cx="381000" cy="381000"/>
        </a:xfrm>
      </xdr:grpSpPr>
      <xdr:grpSp>
        <xdr:nvGrpSpPr>
          <xdr:cNvPr id="1737" name="BC$Y$101#GR">
            <a:extLst>
              <a:ext uri="{FF2B5EF4-FFF2-40B4-BE49-F238E27FC236}">
                <a16:creationId xmlns:a16="http://schemas.microsoft.com/office/drawing/2014/main" id="{C7604E9F-D027-460B-8236-FA3E24D1D598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735" name="BC$Y$101#GR">
              <a:extLst>
                <a:ext uri="{FF2B5EF4-FFF2-40B4-BE49-F238E27FC236}">
                  <a16:creationId xmlns:a16="http://schemas.microsoft.com/office/drawing/2014/main" id="{74087877-FAD5-4F3D-9CF8-00C964CEB142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733" name="BC$Y$101#GR">
                <a:extLst>
                  <a:ext uri="{FF2B5EF4-FFF2-40B4-BE49-F238E27FC236}">
                    <a16:creationId xmlns:a16="http://schemas.microsoft.com/office/drawing/2014/main" id="{406883AD-BD0C-4B48-B5D3-6E88639D6253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731" name="BC$Y$101#GR">
                  <a:extLst>
                    <a:ext uri="{FF2B5EF4-FFF2-40B4-BE49-F238E27FC236}">
                      <a16:creationId xmlns:a16="http://schemas.microsoft.com/office/drawing/2014/main" id="{4A34713F-9D1A-489B-A39B-C51F0F9BE7EE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411" name="BC$Y$101#GR">
                    <a:extLst>
                      <a:ext uri="{FF2B5EF4-FFF2-40B4-BE49-F238E27FC236}">
                        <a16:creationId xmlns:a16="http://schemas.microsoft.com/office/drawing/2014/main" id="{FBF59521-32A8-4A62-89C7-83F96C55DBAF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409" name="BC$Y$101#GR">
                      <a:extLst>
                        <a:ext uri="{FF2B5EF4-FFF2-40B4-BE49-F238E27FC236}">
                          <a16:creationId xmlns:a16="http://schemas.microsoft.com/office/drawing/2014/main" id="{8F783963-0A84-4B99-8F7A-0AD7DFA3750C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5585" name="BC$Y$101#GR">
                        <a:extLst>
                          <a:ext uri="{FF2B5EF4-FFF2-40B4-BE49-F238E27FC236}">
                            <a16:creationId xmlns:a16="http://schemas.microsoft.com/office/drawing/2014/main" id="{B66274A1-4B3B-482E-A8F5-7804C05C971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8447" name="BC$Y$101#GR">
                          <a:extLst>
                            <a:ext uri="{FF2B5EF4-FFF2-40B4-BE49-F238E27FC236}">
                              <a16:creationId xmlns:a16="http://schemas.microsoft.com/office/drawing/2014/main" id="{4F50EE87-9458-4824-A9B7-0C4ED6825444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8445" name="BC$Y$101#GR">
                            <a:extLst>
                              <a:ext uri="{FF2B5EF4-FFF2-40B4-BE49-F238E27FC236}">
                                <a16:creationId xmlns:a16="http://schemas.microsoft.com/office/drawing/2014/main" id="{31A9E090-AA76-4B9D-B141-2BCFE51758EF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8443" name="BC$Y$101#GR">
                              <a:extLst>
                                <a:ext uri="{FF2B5EF4-FFF2-40B4-BE49-F238E27FC236}">
                                  <a16:creationId xmlns:a16="http://schemas.microsoft.com/office/drawing/2014/main" id="{D355F599-C04A-40EE-8D59-B7FC0032BB25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8441" name="BC$Y$101#GR">
                                <a:extLst>
                                  <a:ext uri="{FF2B5EF4-FFF2-40B4-BE49-F238E27FC236}">
                                    <a16:creationId xmlns:a16="http://schemas.microsoft.com/office/drawing/2014/main" id="{D406B5DC-4CD2-4649-A4A7-BB6BE7397F47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8439" name="BC$Y$101#GR">
                                  <a:extLst>
                                    <a:ext uri="{FF2B5EF4-FFF2-40B4-BE49-F238E27FC236}">
                                      <a16:creationId xmlns:a16="http://schemas.microsoft.com/office/drawing/2014/main" id="{5D6A50A4-B3BE-42E4-9AB2-FF72E86B426B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8437" name="BC$Y$101#GR">
                                    <a:extLst>
                                      <a:ext uri="{FF2B5EF4-FFF2-40B4-BE49-F238E27FC236}">
                                        <a16:creationId xmlns:a16="http://schemas.microsoft.com/office/drawing/2014/main" id="{5B75DD6B-3FB7-4B17-A90D-D3BD7C7B785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8435" name="BC$Y$101#GR">
                                      <a:extLst>
                                        <a:ext uri="{FF2B5EF4-FFF2-40B4-BE49-F238E27FC236}">
                                          <a16:creationId xmlns:a16="http://schemas.microsoft.com/office/drawing/2014/main" id="{D2A426D6-F91A-46B0-A141-5A4A06C4D952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8433" name="BC$Y$101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7E9FC75-1359-4B7C-8991-4F8991FF25B7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8431" name="BC$Y$101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FA0C556-198A-4E70-BB3B-4B4562FFF12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8429" name="BC$Y$101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C7C40B9-4764-410E-853C-862B4B1412EC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427" name="BC$Y$101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152CBD7-E8FD-4DFA-9D4C-3951B8EA3DD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425" name="BC$Y$101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C9BC19B-D3FF-447A-9480-D4E7599A643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59" name="BC$Y$101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725F58BC-417A-4560-8A69-E661AD3CFFDB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57" name="BC$Y$101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6B5D360-F0EA-47DF-89FE-59B68AC08B1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07" name="BC$Y$101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D765EB14-65EA-49BC-B1FA-D37908D360E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05" name="BC$Y$101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F3C482F1-6472-4B08-9675-29C448CE582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03" name="BC$Y$101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038305B-B9FF-43F7-916E-12C8A8562BB4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01" name="BC$Y$101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CE4609B-D537-416E-BE64-879339A3D35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703" name="BC$Y$101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1ADB5F7-2BE9-4EA3-A590-FAA32BB433F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651" name="BC$Y$101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F352B177-80BD-4D8F-9C6C-96D1533B045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649" name="BC$Y$101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974C820-C156-48E4-A08A-FED1917D0884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647" name="BC$Y$101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A892B6F-92E7-4A7D-959E-A73FDCEC06E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645" name="BC$Y$101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E1FE2CD-FE3D-4C5D-8446-08D03ECF118F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643" name="BC$Y$101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C9695CF-440E-4FFD-809E-62A1AF95356F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641" name="BC$Y$101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25BA15D-B212-4D98-99BE-16086333017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4847" name="BC$Y$101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FADD39F4-69FD-4639-B5E3-E127FBA72FBA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4845" name="BC$Y$101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910ED4F-ADA1-439B-9F65-33EB64B17BA2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4843" name="BC$Y$101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4DEEBC1E-C23A-43CB-9659-90484DC98ECE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4841" name="BC$Y$101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3420E8C2-AF76-44A0-AADD-1FF1AA06C1F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4839" name="BC$Y$101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B4335F01-0EFF-47DA-B677-C1960AD1F7E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4837" name="BC$Y$101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21669E18-61AF-4B6F-A29D-F5DC04D157C7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4835" name="BC$Y$101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9D09CAD-CF83-42F6-9E2C-07D85108C421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4836" name="BC$Y$101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288A80E0-9726-4E6F-A473-8745C95F23D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4838" name="BC$Y$101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22CF469-021C-4206-A945-2A3572AB192C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4840" name="BC$Y$101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6A9D79C-252A-4AF3-89E5-73B9A55D379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4842" name="BC$Y$101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56DBEF19-6F65-4233-BD0C-6898E9765AB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4844" name="BC$Y$101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07013969-43B3-48FF-81BF-A849200417F4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4846" name="BC$Y$101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69D2FC2D-4212-40D6-902A-B38F4ED883E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640" name="BC$Y$101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343D328B-1763-4D29-84FA-16FDECB6856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642" name="BC$Y$101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56281BAC-54D9-4675-8B37-3F8C932C609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644" name="BC$Y$101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82697A77-57F0-48F9-BC2E-D2892B97BB77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646" name="BC$Y$101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E123561-D360-411C-A2F5-A326093833B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648" name="BC$Y$101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498EAD7-FA20-4F0B-B583-A5E7A10B8656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650" name="BC$Y$101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B4041F80-4BE8-4E07-902E-2A74FE663EE5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702" name="BC$Y$101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2058A84-495A-43D3-8F5D-07A9926F6D9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00" name="BC$Y$101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998AD20-7BDF-43AC-AE93-5E8FDE0387C2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02" name="BC$Y$101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0E2424C-0D89-46E8-8187-E8816B5050C6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04" name="BC$Y$101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B5F7D731-D823-401B-AB21-B71E1534037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06" name="BC$Y$101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E5F68728-1DBA-404B-A8A9-77B4C497471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08" name="BC$Y$101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C7FBA7D6-6606-4BE1-BAE3-645381BC4F8E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58" name="BC$Y$101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CB0C1850-6FE4-426B-845D-BB3C69F74A8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424" name="BC$Y$101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2A4DD2B-F4E7-47F0-858D-F95D57B853ED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426" name="BC$Y$101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79651562-6579-4FB8-A016-AB3550DEA8C9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428" name="BC$Y$101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479E890-9113-4621-8F3D-5CCBBC568B0C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430" name="BC$Y$101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8204D69-89FA-4EB8-9551-4C933590FE4E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432" name="BC$Y$101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DAA4068-DE3F-44A4-97FF-81B0E43834D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434" name="BC$Y$101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488C522-A4C9-4C79-A044-C0AC99420399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436" name="BC$Y$101#BR26">
                                      <a:extLst>
                                        <a:ext uri="{FF2B5EF4-FFF2-40B4-BE49-F238E27FC236}">
                                          <a16:creationId xmlns:a16="http://schemas.microsoft.com/office/drawing/2014/main" id="{C7B7F88B-2531-4FC7-A501-3E5E7FE52D3F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438" name="BC$Y$101#BR27">
                                    <a:extLst>
                                      <a:ext uri="{FF2B5EF4-FFF2-40B4-BE49-F238E27FC236}">
                                        <a16:creationId xmlns:a16="http://schemas.microsoft.com/office/drawing/2014/main" id="{025B93B4-0DA4-488B-BAC4-7CB570B98FB9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440" name="BC$Y$101#BR28">
                                  <a:extLst>
                                    <a:ext uri="{FF2B5EF4-FFF2-40B4-BE49-F238E27FC236}">
                                      <a16:creationId xmlns:a16="http://schemas.microsoft.com/office/drawing/2014/main" id="{1FBB667C-9D88-46FA-99E2-0C22E2AC2574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442" name="BC$Y$101#BR29">
                                <a:extLst>
                                  <a:ext uri="{FF2B5EF4-FFF2-40B4-BE49-F238E27FC236}">
                                    <a16:creationId xmlns:a16="http://schemas.microsoft.com/office/drawing/2014/main" id="{CDF309EF-FD4D-4438-9B62-5EB91FE9C476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444" name="BC$Y$101#BR30">
                              <a:extLst>
                                <a:ext uri="{FF2B5EF4-FFF2-40B4-BE49-F238E27FC236}">
                                  <a16:creationId xmlns:a16="http://schemas.microsoft.com/office/drawing/2014/main" id="{2EE4DF6A-B394-4705-93DC-F466F2A706E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446" name="BC$Y$101#BR31">
                            <a:extLst>
                              <a:ext uri="{FF2B5EF4-FFF2-40B4-BE49-F238E27FC236}">
                                <a16:creationId xmlns:a16="http://schemas.microsoft.com/office/drawing/2014/main" id="{F513296D-6BF6-4809-AF50-A9B8CBE3E047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5584" name="BC$Y$101#BR32">
                          <a:extLst>
                            <a:ext uri="{FF2B5EF4-FFF2-40B4-BE49-F238E27FC236}">
                              <a16:creationId xmlns:a16="http://schemas.microsoft.com/office/drawing/2014/main" id="{E30960CD-92D7-4E08-8E30-5195B917A8A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408" name="BC$Y$101#BR33">
                        <a:extLst>
                          <a:ext uri="{FF2B5EF4-FFF2-40B4-BE49-F238E27FC236}">
                            <a16:creationId xmlns:a16="http://schemas.microsoft.com/office/drawing/2014/main" id="{242AB4DB-56EE-4D1F-AFFC-07099746B012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410" name="BC$Y$101#BR34">
                      <a:extLst>
                        <a:ext uri="{FF2B5EF4-FFF2-40B4-BE49-F238E27FC236}">
                          <a16:creationId xmlns:a16="http://schemas.microsoft.com/office/drawing/2014/main" id="{C1F1A216-57D7-49FD-B45A-DA55AA822B4E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412" name="BC$Y$101#BR35">
                    <a:extLst>
                      <a:ext uri="{FF2B5EF4-FFF2-40B4-BE49-F238E27FC236}">
                        <a16:creationId xmlns:a16="http://schemas.microsoft.com/office/drawing/2014/main" id="{67D3585E-3FD5-42B3-A146-E27BE0DA6D90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732" name="BC$Y$101#BR36">
                  <a:extLst>
                    <a:ext uri="{FF2B5EF4-FFF2-40B4-BE49-F238E27FC236}">
                      <a16:creationId xmlns:a16="http://schemas.microsoft.com/office/drawing/2014/main" id="{5E145F94-DD3C-4E45-82D1-5694E85F83AC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734" name="BC$Y$101#BR37">
                <a:extLst>
                  <a:ext uri="{FF2B5EF4-FFF2-40B4-BE49-F238E27FC236}">
                    <a16:creationId xmlns:a16="http://schemas.microsoft.com/office/drawing/2014/main" id="{E0C05561-28EF-4FCF-9FF6-A122339157C1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736" name="BC$Y$101#BR38">
              <a:extLst>
                <a:ext uri="{FF2B5EF4-FFF2-40B4-BE49-F238E27FC236}">
                  <a16:creationId xmlns:a16="http://schemas.microsoft.com/office/drawing/2014/main" id="{BFE1B455-4265-4692-B267-54DAAC5E7E1E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738" name="BC$Y$101#BR39">
            <a:extLst>
              <a:ext uri="{FF2B5EF4-FFF2-40B4-BE49-F238E27FC236}">
                <a16:creationId xmlns:a16="http://schemas.microsoft.com/office/drawing/2014/main" id="{5BA697D8-95C7-4917-ABDD-2F7542D310E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19050</xdr:colOff>
      <xdr:row>30</xdr:row>
      <xdr:rowOff>9525</xdr:rowOff>
    </xdr:from>
    <xdr:to>
      <xdr:col>13</xdr:col>
      <xdr:colOff>180975</xdr:colOff>
      <xdr:row>32</xdr:row>
      <xdr:rowOff>9525</xdr:rowOff>
    </xdr:to>
    <xdr:grpSp>
      <xdr:nvGrpSpPr>
        <xdr:cNvPr id="16557" name="BC$K$24#GR">
          <a:extLst>
            <a:ext uri="{FF2B5EF4-FFF2-40B4-BE49-F238E27FC236}">
              <a16:creationId xmlns:a16="http://schemas.microsoft.com/office/drawing/2014/main" id="{51415818-1E01-4899-9F80-9BB861123265}"/>
            </a:ext>
          </a:extLst>
        </xdr:cNvPr>
        <xdr:cNvGrpSpPr/>
      </xdr:nvGrpSpPr>
      <xdr:grpSpPr>
        <a:xfrm>
          <a:off x="2647950" y="5629275"/>
          <a:ext cx="381000" cy="381000"/>
          <a:chOff x="0" y="0"/>
          <a:chExt cx="381000" cy="381000"/>
        </a:xfrm>
      </xdr:grpSpPr>
      <xdr:grpSp>
        <xdr:nvGrpSpPr>
          <xdr:cNvPr id="16555" name="BC$K$24#GR">
            <a:extLst>
              <a:ext uri="{FF2B5EF4-FFF2-40B4-BE49-F238E27FC236}">
                <a16:creationId xmlns:a16="http://schemas.microsoft.com/office/drawing/2014/main" id="{215FC2DB-605E-4F01-B3CE-B1A80CE518C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6553" name="BC$K$24#GR">
              <a:extLst>
                <a:ext uri="{FF2B5EF4-FFF2-40B4-BE49-F238E27FC236}">
                  <a16:creationId xmlns:a16="http://schemas.microsoft.com/office/drawing/2014/main" id="{A100868C-E494-4503-8963-11D5CDC09D95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6551" name="BC$K$24#GR">
                <a:extLst>
                  <a:ext uri="{FF2B5EF4-FFF2-40B4-BE49-F238E27FC236}">
                    <a16:creationId xmlns:a16="http://schemas.microsoft.com/office/drawing/2014/main" id="{9D23CF8B-DF3C-4CF7-990A-CC4897F48E29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6549" name="BC$K$24#GR">
                  <a:extLst>
                    <a:ext uri="{FF2B5EF4-FFF2-40B4-BE49-F238E27FC236}">
                      <a16:creationId xmlns:a16="http://schemas.microsoft.com/office/drawing/2014/main" id="{BF48CF0D-F031-4B2A-9566-93CDFCCFFE4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6547" name="BC$K$24#GR">
                    <a:extLst>
                      <a:ext uri="{FF2B5EF4-FFF2-40B4-BE49-F238E27FC236}">
                        <a16:creationId xmlns:a16="http://schemas.microsoft.com/office/drawing/2014/main" id="{A2D587A6-14AE-4576-A773-95E8677D31F1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6545" name="BC$K$24#GR">
                      <a:extLst>
                        <a:ext uri="{FF2B5EF4-FFF2-40B4-BE49-F238E27FC236}">
                          <a16:creationId xmlns:a16="http://schemas.microsoft.com/office/drawing/2014/main" id="{9FB8B61A-B141-4C89-B237-053126B88AC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6415" name="BC$K$24#GR">
                        <a:extLst>
                          <a:ext uri="{FF2B5EF4-FFF2-40B4-BE49-F238E27FC236}">
                            <a16:creationId xmlns:a16="http://schemas.microsoft.com/office/drawing/2014/main" id="{60BC51CD-EDA9-4201-9D5A-9B4AC0EF142D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6413" name="BC$K$24#GR">
                          <a:extLst>
                            <a:ext uri="{FF2B5EF4-FFF2-40B4-BE49-F238E27FC236}">
                              <a16:creationId xmlns:a16="http://schemas.microsoft.com/office/drawing/2014/main" id="{59020E84-CCA2-4726-9B88-36C3EC5F2102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6411" name="BC$K$24#GR">
                            <a:extLst>
                              <a:ext uri="{FF2B5EF4-FFF2-40B4-BE49-F238E27FC236}">
                                <a16:creationId xmlns:a16="http://schemas.microsoft.com/office/drawing/2014/main" id="{3AA4B83F-268F-4292-8161-A624FC5BB7BD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2078" name="BC$K$24#GR">
                              <a:extLst>
                                <a:ext uri="{FF2B5EF4-FFF2-40B4-BE49-F238E27FC236}">
                                  <a16:creationId xmlns:a16="http://schemas.microsoft.com/office/drawing/2014/main" id="{90D3C937-FEC6-4748-A4E5-90CA2C5106CD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2076" name="BC$K$24#GR">
                                <a:extLst>
                                  <a:ext uri="{FF2B5EF4-FFF2-40B4-BE49-F238E27FC236}">
                                    <a16:creationId xmlns:a16="http://schemas.microsoft.com/office/drawing/2014/main" id="{3604089A-EFC3-4437-9FD7-6D93E58B4D1E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2074" name="BC$K$24#GR">
                                  <a:extLst>
                                    <a:ext uri="{FF2B5EF4-FFF2-40B4-BE49-F238E27FC236}">
                                      <a16:creationId xmlns:a16="http://schemas.microsoft.com/office/drawing/2014/main" id="{CA24106D-7DD5-48D6-8ABD-FE410362D86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2072" name="BC$K$24#GR">
                                    <a:extLst>
                                      <a:ext uri="{FF2B5EF4-FFF2-40B4-BE49-F238E27FC236}">
                                        <a16:creationId xmlns:a16="http://schemas.microsoft.com/office/drawing/2014/main" id="{C75084D5-BE68-4CF2-A3CD-C1E97ED5AFDB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2070" name="BC$K$24#GR">
                                      <a:extLst>
                                        <a:ext uri="{FF2B5EF4-FFF2-40B4-BE49-F238E27FC236}">
                                          <a16:creationId xmlns:a16="http://schemas.microsoft.com/office/drawing/2014/main" id="{9450D76B-AE23-4458-90AC-55F95AF3ED4F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2068" name="BC$K$2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36400DA-58B2-4429-A5D2-340B9EB7FD76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2066" name="BC$K$2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9188601-66BF-4406-ACB4-65A4179D226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2064" name="BC$K$2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5BB31BF-ECD1-414E-B464-3D8D9504913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62" name="BC$K$2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97465EE8-39DD-4A44-B33D-4C90439D74E1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173" name="BC$K$2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09D99F5-28B1-45BE-B42D-FED6A58ABAF5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171" name="BC$K$2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1254CD10-AB3B-4D22-8D7C-A40A93F947B9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169" name="BC$K$2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8BAD224-5F83-442A-AA5F-0726F32BF10F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167" name="BC$K$2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845C6CEE-CA87-4E3F-ADC9-13B4731EA487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165" name="BC$K$2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8A14389-B804-469D-A42E-3C02FDC6EE75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163" name="BC$K$2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E6A7517-4876-433D-94EC-8159B505E358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161" name="BC$K$2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83B9C3C-5777-40D4-98DE-6A32109407BE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159" name="BC$K$2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DDDFE12-863F-4F96-90ED-6E190CE2A96E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157" name="BC$K$2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70F5CC0-3F6F-46C6-978D-8CDE5687724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155" name="BC$K$2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9ADB5E0-A59B-42C5-B9E9-933D090CF873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153" name="BC$K$2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AAC6ADD-03B2-421E-9EF5-AFB4385AC7C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890" name="BC$K$2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F397FA6C-FA3B-434B-8432-86A9DEB205A1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888" name="BC$K$2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D35D76B-30FF-4696-81F5-012D5706B6A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758" name="BC$K$2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9CB7E085-244B-44CB-A1A6-A3F7337EE95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756" name="BC$K$2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0DC25B12-6165-45BE-B969-23634037E84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754" name="BC$K$2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7F6BACF-2DF3-492E-8777-B356D1E9B8EC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752" name="BC$K$2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9EDC24B-4F06-4D0E-B53A-58D23CB3998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750" name="BC$K$2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2BC0E84-391E-4DA5-A018-CAD6868135AD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748" name="BC$K$24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DBB51F2F-18DF-4EDC-9F10-86EE993A909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746" name="BC$K$24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4796F71A-7806-422B-A6FB-9642B38B84F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44" name="BC$K$24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C8F77A8D-A975-49FA-A688-9E0BD6F20537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45" name="BC$K$24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7D05221-02B8-4C1F-8003-D8584AA21BC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747" name="BC$K$24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73485BED-15E6-4D90-9CD1-334FF5807902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749" name="BC$K$24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AACDEE19-5872-458D-9535-FA231C084A1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751" name="BC$K$24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1D72FD5F-04B6-4EDF-9A6E-D6E277076ABE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753" name="BC$K$24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596D58FB-FA93-4C34-899C-9100570139C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755" name="BC$K$24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73E49F7A-E399-4B45-9C69-CC904D641AB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757" name="BC$K$24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C041F70-E94F-4A53-AA8F-50370C1E2874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759" name="BC$K$24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A581967-0248-4A52-B24A-7E2F1F0FA7E3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889" name="BC$K$24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C3481642-1F07-42B7-9134-C48FA3EAD4D5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152" name="BC$K$24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95B3B46D-4104-4BBA-BDA3-276FE33546B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154" name="BC$K$24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3E6D66F-8AC9-448A-B11F-F978231C5E9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156" name="BC$K$24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73022285-722D-40D6-9DE0-E80AE7062BD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158" name="BC$K$24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4B13F01B-491A-4F22-A384-91B0947CF54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160" name="BC$K$24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4923AB71-6937-41F5-A244-7E87DFF6389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162" name="BC$K$24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67BFC7D-4C4F-4F85-80F7-B858B58232AC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164" name="BC$K$24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F43B91C-9ADE-44EC-ABE1-DED36E5564CB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166" name="BC$K$24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D7D4925-DEE5-4341-A4C4-18603652843C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168" name="BC$K$24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64931A8-013B-4C16-8B79-6C16A6B5C1F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170" name="BC$K$24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5EB4796-6569-4BD4-99E7-AECD7ADE8B7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172" name="BC$K$24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F942234-CA13-4007-9456-4B036E228D0C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2061" name="BC$K$24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ABF801D-6697-4916-A1DB-16214664F1E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2063" name="BC$K$24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EC695715-B18F-4F56-8A84-F37D3072BBBB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2065" name="BC$K$24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86C21F55-7280-4638-B9D9-225B016C3061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2067" name="BC$K$24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C9999AF3-B550-43CD-843A-6707B965BD12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2069" name="BC$K$24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78DC06E8-169B-4A9A-B0F8-475BD8E1CDAD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071" name="BC$K$24#BR26">
                                      <a:extLst>
                                        <a:ext uri="{FF2B5EF4-FFF2-40B4-BE49-F238E27FC236}">
                                          <a16:creationId xmlns:a16="http://schemas.microsoft.com/office/drawing/2014/main" id="{D0A898C5-4BFE-470C-ACE2-1F7DDB08A89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073" name="BC$K$24#BR27">
                                    <a:extLst>
                                      <a:ext uri="{FF2B5EF4-FFF2-40B4-BE49-F238E27FC236}">
                                        <a16:creationId xmlns:a16="http://schemas.microsoft.com/office/drawing/2014/main" id="{2E73CDCC-CDC5-4958-A29F-4FF96E30701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2075" name="BC$K$24#BR28">
                                  <a:extLst>
                                    <a:ext uri="{FF2B5EF4-FFF2-40B4-BE49-F238E27FC236}">
                                      <a16:creationId xmlns:a16="http://schemas.microsoft.com/office/drawing/2014/main" id="{1758687F-7239-42C4-95E6-A1EB12494058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2077" name="BC$K$24#BR29">
                                <a:extLst>
                                  <a:ext uri="{FF2B5EF4-FFF2-40B4-BE49-F238E27FC236}">
                                    <a16:creationId xmlns:a16="http://schemas.microsoft.com/office/drawing/2014/main" id="{2691E2DF-43EE-4589-AB66-233458231A9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079" name="BC$K$24#BR30">
                              <a:extLst>
                                <a:ext uri="{FF2B5EF4-FFF2-40B4-BE49-F238E27FC236}">
                                  <a16:creationId xmlns:a16="http://schemas.microsoft.com/office/drawing/2014/main" id="{D69DA34F-12D8-41A0-AA33-46CD87D1175D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6412" name="BC$K$24#BR31">
                            <a:extLst>
                              <a:ext uri="{FF2B5EF4-FFF2-40B4-BE49-F238E27FC236}">
                                <a16:creationId xmlns:a16="http://schemas.microsoft.com/office/drawing/2014/main" id="{A9379AF9-127F-469F-8A3A-EA6CD03D3FC7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6414" name="BC$K$24#BR32">
                          <a:extLst>
                            <a:ext uri="{FF2B5EF4-FFF2-40B4-BE49-F238E27FC236}">
                              <a16:creationId xmlns:a16="http://schemas.microsoft.com/office/drawing/2014/main" id="{CE2AE09E-101D-496A-923A-B28E54887AB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6544" name="BC$K$24#BR33">
                        <a:extLst>
                          <a:ext uri="{FF2B5EF4-FFF2-40B4-BE49-F238E27FC236}">
                            <a16:creationId xmlns:a16="http://schemas.microsoft.com/office/drawing/2014/main" id="{42B35904-A709-4762-A87E-27347F35E16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6546" name="BC$K$24#BR34">
                      <a:extLst>
                        <a:ext uri="{FF2B5EF4-FFF2-40B4-BE49-F238E27FC236}">
                          <a16:creationId xmlns:a16="http://schemas.microsoft.com/office/drawing/2014/main" id="{29E0317E-36C3-4EE1-A256-1AD3CBCFF192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6548" name="BC$K$24#BR35">
                    <a:extLst>
                      <a:ext uri="{FF2B5EF4-FFF2-40B4-BE49-F238E27FC236}">
                        <a16:creationId xmlns:a16="http://schemas.microsoft.com/office/drawing/2014/main" id="{9B75DBD8-F63C-4C11-89D7-355F734CC2CE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6550" name="BC$K$24#BR36">
                  <a:extLst>
                    <a:ext uri="{FF2B5EF4-FFF2-40B4-BE49-F238E27FC236}">
                      <a16:creationId xmlns:a16="http://schemas.microsoft.com/office/drawing/2014/main" id="{CFA79596-6BBE-48F5-B24E-DE309133BF8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6552" name="BC$K$24#BR37">
                <a:extLst>
                  <a:ext uri="{FF2B5EF4-FFF2-40B4-BE49-F238E27FC236}">
                    <a16:creationId xmlns:a16="http://schemas.microsoft.com/office/drawing/2014/main" id="{1A60A739-31E1-493C-8624-9ABEB4FC90B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554" name="BC$K$24#BR38">
              <a:extLst>
                <a:ext uri="{FF2B5EF4-FFF2-40B4-BE49-F238E27FC236}">
                  <a16:creationId xmlns:a16="http://schemas.microsoft.com/office/drawing/2014/main" id="{707AE46D-C6C1-4452-88B1-811F596389C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556" name="BC$K$24#BR39">
            <a:extLst>
              <a:ext uri="{FF2B5EF4-FFF2-40B4-BE49-F238E27FC236}">
                <a16:creationId xmlns:a16="http://schemas.microsoft.com/office/drawing/2014/main" id="{6F08693C-B799-4EE1-A1CB-F2D7CAB084BE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0</xdr:col>
      <xdr:colOff>31750</xdr:colOff>
      <xdr:row>0</xdr:row>
      <xdr:rowOff>31750</xdr:rowOff>
    </xdr:from>
    <xdr:to>
      <xdr:col>0</xdr:col>
      <xdr:colOff>63500</xdr:colOff>
      <xdr:row>0</xdr:row>
      <xdr:rowOff>63500</xdr:rowOff>
    </xdr:to>
    <xdr:sp macro="" textlink="">
      <xdr:nvSpPr>
        <xdr:cNvPr id="17231" name="BC$K$35#BR1">
          <a:extLst>
            <a:ext uri="{FF2B5EF4-FFF2-40B4-BE49-F238E27FC236}">
              <a16:creationId xmlns:a16="http://schemas.microsoft.com/office/drawing/2014/main" id="{A9A85229-8DB8-4044-A05B-EA2793BA8D7E}"/>
            </a:ext>
          </a:extLst>
        </xdr:cNvPr>
        <xdr:cNvSpPr/>
      </xdr:nvSpPr>
      <xdr:spPr>
        <a:xfrm>
          <a:off x="31750" y="31750"/>
          <a:ext cx="31750" cy="3175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69850</xdr:colOff>
      <xdr:row>151</xdr:row>
      <xdr:rowOff>31750</xdr:rowOff>
    </xdr:from>
    <xdr:to>
      <xdr:col>13</xdr:col>
      <xdr:colOff>168275</xdr:colOff>
      <xdr:row>152</xdr:row>
      <xdr:rowOff>158750</xdr:rowOff>
    </xdr:to>
    <xdr:grpSp>
      <xdr:nvGrpSpPr>
        <xdr:cNvPr id="17308" name="BC$K$35#GR">
          <a:extLst>
            <a:ext uri="{FF2B5EF4-FFF2-40B4-BE49-F238E27FC236}">
              <a16:creationId xmlns:a16="http://schemas.microsoft.com/office/drawing/2014/main" id="{8206BDFD-E4F8-4656-A940-21E1B4AACEDE}"/>
            </a:ext>
          </a:extLst>
        </xdr:cNvPr>
        <xdr:cNvGrpSpPr/>
      </xdr:nvGrpSpPr>
      <xdr:grpSpPr>
        <a:xfrm>
          <a:off x="2698750" y="28702000"/>
          <a:ext cx="317500" cy="317500"/>
          <a:chOff x="0" y="0"/>
          <a:chExt cx="381000" cy="381000"/>
        </a:xfrm>
      </xdr:grpSpPr>
      <xdr:grpSp>
        <xdr:nvGrpSpPr>
          <xdr:cNvPr id="17306" name="BC$K$35#GR">
            <a:extLst>
              <a:ext uri="{FF2B5EF4-FFF2-40B4-BE49-F238E27FC236}">
                <a16:creationId xmlns:a16="http://schemas.microsoft.com/office/drawing/2014/main" id="{42195986-5516-4041-8DAE-877F16C64CAD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7304" name="BC$K$35#GR">
              <a:extLst>
                <a:ext uri="{FF2B5EF4-FFF2-40B4-BE49-F238E27FC236}">
                  <a16:creationId xmlns:a16="http://schemas.microsoft.com/office/drawing/2014/main" id="{335B56BA-6EDA-49E7-939C-C55C775D3D2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7302" name="BC$K$35#GR">
                <a:extLst>
                  <a:ext uri="{FF2B5EF4-FFF2-40B4-BE49-F238E27FC236}">
                    <a16:creationId xmlns:a16="http://schemas.microsoft.com/office/drawing/2014/main" id="{2307EC50-574D-48EF-B5E5-CAEF6E3F328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7300" name="BC$K$35#GR">
                  <a:extLst>
                    <a:ext uri="{FF2B5EF4-FFF2-40B4-BE49-F238E27FC236}">
                      <a16:creationId xmlns:a16="http://schemas.microsoft.com/office/drawing/2014/main" id="{E124AAAE-3F3E-49C5-9116-710BA9A7568C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7298" name="BC$K$35#GR">
                    <a:extLst>
                      <a:ext uri="{FF2B5EF4-FFF2-40B4-BE49-F238E27FC236}">
                        <a16:creationId xmlns:a16="http://schemas.microsoft.com/office/drawing/2014/main" id="{15080BBA-5019-4739-8940-CD62F96D6C9E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7296" name="BC$K$35#GR">
                      <a:extLst>
                        <a:ext uri="{FF2B5EF4-FFF2-40B4-BE49-F238E27FC236}">
                          <a16:creationId xmlns:a16="http://schemas.microsoft.com/office/drawing/2014/main" id="{33A3F944-35CA-433C-8518-F8C04284A315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7294" name="BC$K$35#GR">
                        <a:extLst>
                          <a:ext uri="{FF2B5EF4-FFF2-40B4-BE49-F238E27FC236}">
                            <a16:creationId xmlns:a16="http://schemas.microsoft.com/office/drawing/2014/main" id="{6183A57D-A17E-4F29-8DC5-0BCAFF38EAC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7292" name="BC$K$35#GR">
                          <a:extLst>
                            <a:ext uri="{FF2B5EF4-FFF2-40B4-BE49-F238E27FC236}">
                              <a16:creationId xmlns:a16="http://schemas.microsoft.com/office/drawing/2014/main" id="{7953BF83-DCC4-41BF-912A-C7B94671052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7290" name="BC$K$35#GR">
                            <a:extLst>
                              <a:ext uri="{FF2B5EF4-FFF2-40B4-BE49-F238E27FC236}">
                                <a16:creationId xmlns:a16="http://schemas.microsoft.com/office/drawing/2014/main" id="{9E27CA2C-D3CE-4781-8F89-7B40C9F574A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7288" name="BC$K$35#GR">
                              <a:extLst>
                                <a:ext uri="{FF2B5EF4-FFF2-40B4-BE49-F238E27FC236}">
                                  <a16:creationId xmlns:a16="http://schemas.microsoft.com/office/drawing/2014/main" id="{34290124-4109-4458-BA28-3833BACFD083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7286" name="BC$K$35#GR">
                                <a:extLst>
                                  <a:ext uri="{FF2B5EF4-FFF2-40B4-BE49-F238E27FC236}">
                                    <a16:creationId xmlns:a16="http://schemas.microsoft.com/office/drawing/2014/main" id="{8809A474-B2C0-4614-B509-D534CFDFAB5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7284" name="BC$K$35#GR">
                                  <a:extLst>
                                    <a:ext uri="{FF2B5EF4-FFF2-40B4-BE49-F238E27FC236}">
                                      <a16:creationId xmlns:a16="http://schemas.microsoft.com/office/drawing/2014/main" id="{6BA04224-AB34-4879-97FB-A9A3F76FCE3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7282" name="BC$K$35#GR">
                                    <a:extLst>
                                      <a:ext uri="{FF2B5EF4-FFF2-40B4-BE49-F238E27FC236}">
                                        <a16:creationId xmlns:a16="http://schemas.microsoft.com/office/drawing/2014/main" id="{B9F571C6-0C48-43D5-B82B-758DFEFBA6E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7280" name="BC$K$35#GR">
                                      <a:extLst>
                                        <a:ext uri="{FF2B5EF4-FFF2-40B4-BE49-F238E27FC236}">
                                          <a16:creationId xmlns:a16="http://schemas.microsoft.com/office/drawing/2014/main" id="{3D93293C-0412-4DEF-B86A-20251A97FACB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7278" name="BC$K$3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B5DC11AE-BB7A-4C98-8ABF-D68E396EE944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7276" name="BC$K$3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A248F48-461F-4818-876D-6B4B95268613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7274" name="BC$K$3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A8AF10C-B6A6-412D-8EAF-CC83ED8615C7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7272" name="BC$K$3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8BD7461-A0ED-4526-9814-CDE81DC6C65B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7270" name="BC$K$3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182CFD29-104C-49D7-B1A3-A9081B3C0DB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7268" name="BC$K$3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E282BBC9-BC36-41CD-85A6-25C32FB5C3C3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7266" name="BC$K$3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CCF840A-D5B9-4CF4-A761-AC91A6897BDF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7264" name="BC$K$3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93FAB58-5D87-4A97-A8DA-463AAF9F7F7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262" name="BC$K$3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B912519-608E-4CEA-A5EB-99A9332D8907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7260" name="BC$K$3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69913FED-2F92-4E09-B634-F7E6F85A46DC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7258" name="BC$K$3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869758BF-221F-43C9-ADEA-F81B4116E55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7256" name="BC$K$3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9F44D10E-DBBA-45EA-BE9C-D7A88E89DF9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7254" name="BC$K$3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B943C91E-D9F6-4FBD-B27A-B49B198D8BD4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7252" name="BC$K$3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88DFC5E0-6519-4C40-8E46-EFA87AD4386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7250" name="BC$K$3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C159A33B-2ABF-4689-8E80-A52311D6CF6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7248" name="BC$K$3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DC6B501-926A-49DE-A05B-69247C41BDBD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7246" name="BC$K$3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E6744910-661D-44E7-AE23-9B6D042B14F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7244" name="BC$K$3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7A29B268-FE04-4200-AE7E-5A9E4EC612D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7242" name="BC$K$3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28AB9F97-352F-471F-8D1E-7565A0AE08CC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7240" name="BC$K$3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5239D27-0E56-4E3B-8C45-1A1B26F4E925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7238" name="BC$K$3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7B3092D6-71AC-45C1-B1BC-3C189FBAE04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7236" name="BC$K$3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ABB32F3-0A70-48AC-BC0C-309280307E6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7234" name="BC$K$35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20DF0F5-734D-4611-9DCE-AA49C28D36C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7232" name="BC$K$35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A1492FB7-A3B4-4279-9F1E-32FFAACD16E4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174" name="BC$K$35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69340E2-A5C5-4288-ACB9-7257C34DB7B0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230" name="BC$K$35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E553FC37-CDB1-4710-AFBE-86F43B00D0E7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7233" name="BC$K$35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7CA1ED5-AC30-499A-A849-4F9D196000E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7235" name="BC$K$35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807AC3E-85E9-4B5C-8D3A-8DA28474D831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7237" name="BC$K$35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64F42CB9-30D3-43F8-8A73-2B3A443C59D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7239" name="BC$K$35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90AD26A9-9CEF-4FCB-AB59-72B3DA837DF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7241" name="BC$K$35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DB0B8ABA-C34A-49D4-BA7E-4287FEB8245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7243" name="BC$K$35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5747A6C5-EBFB-44FE-B03C-F8FD830875E9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7245" name="BC$K$35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106528D-1955-493C-A95C-8EE330AD46C7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7247" name="BC$K$35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D7BE1478-401E-4B9D-BBD3-B49D3295139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7249" name="BC$K$35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4521FEE0-BC89-44B3-817F-E0ED86C899D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7251" name="BC$K$35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09BEBB3-773E-4C48-9FFF-87D1E9307CD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7253" name="BC$K$35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D4B614DF-6D70-4CE8-91C3-DEB62EACA4D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7255" name="BC$K$35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696F742-E507-4D66-9394-FAEB29AD2AE2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7257" name="BC$K$35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FCD5A60-00F0-4D99-AB87-122245347263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7259" name="BC$K$35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B51217F6-CD9D-47B9-BBA6-203CEA0D9FA8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7261" name="BC$K$35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8B11D364-AABB-4480-9F98-DA9A99C61FB8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7263" name="BC$K$35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E25C7E5-00D5-43F9-A553-DD828EC75A06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7265" name="BC$K$35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ED1F72C-842D-45B3-9E80-D425CA361643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7267" name="BC$K$35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E92A5486-CDCD-4850-B1D4-C228F9494E4F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7269" name="BC$K$35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A3A4346-DBB9-4A80-B728-CFC7DCBA8BE4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7271" name="BC$K$35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4B1AEBEB-A7B1-4D0A-83A3-A2FF032C7646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7273" name="BC$K$35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25FBE80B-EF9C-4552-8F2F-695EF489FBFD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7275" name="BC$K$35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3A6778CA-7DE2-439B-A1F6-B7E17F026B4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7277" name="BC$K$35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2AF0A08-0141-42A3-B696-C5C0E7E082C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7279" name="BC$K$35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32178D1-375A-4840-91BB-DBE6EBF5C31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7281" name="BC$K$35#BR26">
                                      <a:extLst>
                                        <a:ext uri="{FF2B5EF4-FFF2-40B4-BE49-F238E27FC236}">
                                          <a16:creationId xmlns:a16="http://schemas.microsoft.com/office/drawing/2014/main" id="{C681B726-97AB-4429-BF92-0739D943C822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7283" name="BC$K$35#BR27">
                                    <a:extLst>
                                      <a:ext uri="{FF2B5EF4-FFF2-40B4-BE49-F238E27FC236}">
                                        <a16:creationId xmlns:a16="http://schemas.microsoft.com/office/drawing/2014/main" id="{1F104F0D-AA03-4045-B339-0E6B166974B7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7285" name="BC$K$35#BR28">
                                  <a:extLst>
                                    <a:ext uri="{FF2B5EF4-FFF2-40B4-BE49-F238E27FC236}">
                                      <a16:creationId xmlns:a16="http://schemas.microsoft.com/office/drawing/2014/main" id="{96A831A9-325F-43ED-B949-E564EB74F9F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7287" name="BC$K$35#BR29">
                                <a:extLst>
                                  <a:ext uri="{FF2B5EF4-FFF2-40B4-BE49-F238E27FC236}">
                                    <a16:creationId xmlns:a16="http://schemas.microsoft.com/office/drawing/2014/main" id="{585889AA-DD5D-49CD-878B-1261FD7EC98A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7289" name="BC$K$35#BR30">
                              <a:extLst>
                                <a:ext uri="{FF2B5EF4-FFF2-40B4-BE49-F238E27FC236}">
                                  <a16:creationId xmlns:a16="http://schemas.microsoft.com/office/drawing/2014/main" id="{88FEB18C-5796-473E-B134-B37C2246D071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7291" name="BC$K$35#BR31">
                            <a:extLst>
                              <a:ext uri="{FF2B5EF4-FFF2-40B4-BE49-F238E27FC236}">
                                <a16:creationId xmlns:a16="http://schemas.microsoft.com/office/drawing/2014/main" id="{7ECBCFDC-2C71-4199-8954-784FDDEDECC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7293" name="BC$K$35#BR32">
                          <a:extLst>
                            <a:ext uri="{FF2B5EF4-FFF2-40B4-BE49-F238E27FC236}">
                              <a16:creationId xmlns:a16="http://schemas.microsoft.com/office/drawing/2014/main" id="{27114F43-E03D-433F-87BB-96BF22D9583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7295" name="BC$K$35#BR33">
                        <a:extLst>
                          <a:ext uri="{FF2B5EF4-FFF2-40B4-BE49-F238E27FC236}">
                            <a16:creationId xmlns:a16="http://schemas.microsoft.com/office/drawing/2014/main" id="{7889B3A3-99AC-44F1-956A-0D2EF903E75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7297" name="BC$K$35#BR34">
                      <a:extLst>
                        <a:ext uri="{FF2B5EF4-FFF2-40B4-BE49-F238E27FC236}">
                          <a16:creationId xmlns:a16="http://schemas.microsoft.com/office/drawing/2014/main" id="{AB328C9F-9D41-4031-AE4F-0C8240924EF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7299" name="BC$K$35#BR35">
                    <a:extLst>
                      <a:ext uri="{FF2B5EF4-FFF2-40B4-BE49-F238E27FC236}">
                        <a16:creationId xmlns:a16="http://schemas.microsoft.com/office/drawing/2014/main" id="{89FA5DE5-2C37-4FF3-9C39-1BDBE637AA4A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7301" name="BC$K$35#BR36">
                  <a:extLst>
                    <a:ext uri="{FF2B5EF4-FFF2-40B4-BE49-F238E27FC236}">
                      <a16:creationId xmlns:a16="http://schemas.microsoft.com/office/drawing/2014/main" id="{B7D9C977-7255-4E99-B506-4177E4F20477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7303" name="BC$K$35#BR37">
                <a:extLst>
                  <a:ext uri="{FF2B5EF4-FFF2-40B4-BE49-F238E27FC236}">
                    <a16:creationId xmlns:a16="http://schemas.microsoft.com/office/drawing/2014/main" id="{E6F5BA93-6430-47E1-A80E-1AECFE315245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7305" name="BC$K$35#BR38">
              <a:extLst>
                <a:ext uri="{FF2B5EF4-FFF2-40B4-BE49-F238E27FC236}">
                  <a16:creationId xmlns:a16="http://schemas.microsoft.com/office/drawing/2014/main" id="{0DA25032-B366-490E-B515-48C2F9A30A94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7307" name="BC$K$35#BR39">
            <a:extLst>
              <a:ext uri="{FF2B5EF4-FFF2-40B4-BE49-F238E27FC236}">
                <a16:creationId xmlns:a16="http://schemas.microsoft.com/office/drawing/2014/main" id="{39692393-CE01-4CD6-9ABC-BF1B4401BB99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38100</xdr:colOff>
      <xdr:row>30</xdr:row>
      <xdr:rowOff>9525</xdr:rowOff>
    </xdr:from>
    <xdr:to>
      <xdr:col>27</xdr:col>
      <xdr:colOff>200025</xdr:colOff>
      <xdr:row>32</xdr:row>
      <xdr:rowOff>9525</xdr:rowOff>
    </xdr:to>
    <xdr:grpSp>
      <xdr:nvGrpSpPr>
        <xdr:cNvPr id="17549" name="BC$Y$24#GR">
          <a:extLst>
            <a:ext uri="{FF2B5EF4-FFF2-40B4-BE49-F238E27FC236}">
              <a16:creationId xmlns:a16="http://schemas.microsoft.com/office/drawing/2014/main" id="{9D915228-8388-4802-8D2D-EB05BB2291DF}"/>
            </a:ext>
          </a:extLst>
        </xdr:cNvPr>
        <xdr:cNvGrpSpPr/>
      </xdr:nvGrpSpPr>
      <xdr:grpSpPr>
        <a:xfrm>
          <a:off x="5781675" y="5629275"/>
          <a:ext cx="381000" cy="381000"/>
          <a:chOff x="0" y="0"/>
          <a:chExt cx="381000" cy="381000"/>
        </a:xfrm>
      </xdr:grpSpPr>
      <xdr:grpSp>
        <xdr:nvGrpSpPr>
          <xdr:cNvPr id="17547" name="BC$Y$24#GR">
            <a:extLst>
              <a:ext uri="{FF2B5EF4-FFF2-40B4-BE49-F238E27FC236}">
                <a16:creationId xmlns:a16="http://schemas.microsoft.com/office/drawing/2014/main" id="{FAFB5A73-C3C2-458B-8312-B270D43D8664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7545" name="BC$Y$24#GR">
              <a:extLst>
                <a:ext uri="{FF2B5EF4-FFF2-40B4-BE49-F238E27FC236}">
                  <a16:creationId xmlns:a16="http://schemas.microsoft.com/office/drawing/2014/main" id="{89F1232E-8700-40E0-968B-B729A4532D33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7543" name="BC$Y$24#GR">
                <a:extLst>
                  <a:ext uri="{FF2B5EF4-FFF2-40B4-BE49-F238E27FC236}">
                    <a16:creationId xmlns:a16="http://schemas.microsoft.com/office/drawing/2014/main" id="{58798DC0-1690-49E8-9907-1B36AED6AC4F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7541" name="BC$Y$24#GR">
                  <a:extLst>
                    <a:ext uri="{FF2B5EF4-FFF2-40B4-BE49-F238E27FC236}">
                      <a16:creationId xmlns:a16="http://schemas.microsoft.com/office/drawing/2014/main" id="{85E1823E-A4C7-405F-B228-4DC525FEB87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7539" name="BC$Y$24#GR">
                    <a:extLst>
                      <a:ext uri="{FF2B5EF4-FFF2-40B4-BE49-F238E27FC236}">
                        <a16:creationId xmlns:a16="http://schemas.microsoft.com/office/drawing/2014/main" id="{549A3AFC-5C22-48FD-85DD-5DE1456AE0A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7537" name="BC$Y$24#GR">
                      <a:extLst>
                        <a:ext uri="{FF2B5EF4-FFF2-40B4-BE49-F238E27FC236}">
                          <a16:creationId xmlns:a16="http://schemas.microsoft.com/office/drawing/2014/main" id="{1AA0B027-482F-41D1-AF53-6578CA5AECA3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7535" name="BC$Y$24#GR">
                        <a:extLst>
                          <a:ext uri="{FF2B5EF4-FFF2-40B4-BE49-F238E27FC236}">
                            <a16:creationId xmlns:a16="http://schemas.microsoft.com/office/drawing/2014/main" id="{E51A184F-49E5-4203-9F7E-0D6BA4EC6DD1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7533" name="BC$Y$24#GR">
                          <a:extLst>
                            <a:ext uri="{FF2B5EF4-FFF2-40B4-BE49-F238E27FC236}">
                              <a16:creationId xmlns:a16="http://schemas.microsoft.com/office/drawing/2014/main" id="{03CEFB4B-B864-42F8-82E0-63988061B24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7531" name="BC$Y$24#GR">
                            <a:extLst>
                              <a:ext uri="{FF2B5EF4-FFF2-40B4-BE49-F238E27FC236}">
                                <a16:creationId xmlns:a16="http://schemas.microsoft.com/office/drawing/2014/main" id="{8E1080BA-1BDF-4147-B86E-341C2089E0CA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7529" name="BC$Y$24#GR">
                              <a:extLst>
                                <a:ext uri="{FF2B5EF4-FFF2-40B4-BE49-F238E27FC236}">
                                  <a16:creationId xmlns:a16="http://schemas.microsoft.com/office/drawing/2014/main" id="{BEA5E164-69C0-4F9A-B3CF-504D25DF8377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7527" name="BC$Y$24#GR">
                                <a:extLst>
                                  <a:ext uri="{FF2B5EF4-FFF2-40B4-BE49-F238E27FC236}">
                                    <a16:creationId xmlns:a16="http://schemas.microsoft.com/office/drawing/2014/main" id="{F4A2DFB6-10CB-4008-A61D-9F67218A1033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7525" name="BC$Y$24#GR">
                                  <a:extLst>
                                    <a:ext uri="{FF2B5EF4-FFF2-40B4-BE49-F238E27FC236}">
                                      <a16:creationId xmlns:a16="http://schemas.microsoft.com/office/drawing/2014/main" id="{592E6595-AB57-41CF-9F6C-053E5B514EE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7523" name="BC$Y$24#GR">
                                    <a:extLst>
                                      <a:ext uri="{FF2B5EF4-FFF2-40B4-BE49-F238E27FC236}">
                                        <a16:creationId xmlns:a16="http://schemas.microsoft.com/office/drawing/2014/main" id="{B9C7A2A9-327C-4968-838A-CCEE0D44678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7521" name="BC$Y$24#GR">
                                      <a:extLst>
                                        <a:ext uri="{FF2B5EF4-FFF2-40B4-BE49-F238E27FC236}">
                                          <a16:creationId xmlns:a16="http://schemas.microsoft.com/office/drawing/2014/main" id="{1F49B99A-2910-4F6B-BA37-8D2232A7F089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7519" name="BC$Y$24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46B4455F-4DE0-4523-86E0-42BEAC65DBD5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7517" name="BC$Y$24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579E22B0-4435-4903-8B9F-6343EC1FAC47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7515" name="BC$Y$24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1215413E-B7DB-4EB6-BB7C-C082CE283633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7513" name="BC$Y$24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A1E8222-44E5-4626-810C-D521FD4F43A6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7511" name="BC$Y$24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8196A12F-4480-40BA-BBAE-E86FF3375054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7509" name="BC$Y$24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2F163490-F034-4FED-9889-C01B142CE0A8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7507" name="BC$Y$24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AA7E0C19-AD5A-40E3-AA54-1A1EB2D754F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7505" name="BC$Y$24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6FE86CF-2F7A-4630-82FD-7E38DA1D271E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503" name="BC$Y$24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2C52B218-469E-4C29-A69D-75B70C8DF2CE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7501" name="BC$Y$24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A73DAAF0-F7DD-4B36-93A2-7C344C3FC4C3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7499" name="BC$Y$24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F00273B5-E2AB-43B6-8F2F-429310FEF93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7497" name="BC$Y$24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0930303-64A7-429E-954A-F9F779843E07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7495" name="BC$Y$24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AB612F7-DA50-4F59-B369-813054559FD6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7493" name="BC$Y$24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B191E54-1741-41A6-B6B7-4E3DA9FD06F8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7491" name="BC$Y$24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72D02B98-E3FB-4CFF-A4FB-EBEF569F28CF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7489" name="BC$Y$24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22A4D570-2B00-42C4-9734-9E05359BF9C6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7487" name="BC$Y$24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9D67783B-B0C4-4000-9FAE-E00941911343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7485" name="BC$Y$24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B47783F0-AAEA-4FCD-844C-997AFAEE8ADF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7483" name="BC$Y$24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A98EF1FE-BD57-496E-A870-E2CBEA7270C6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7481" name="BC$Y$24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19BD08DC-7989-4E3F-9432-0F4EAA339CB8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7479" name="BC$Y$24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3B33D4ED-DEEF-400E-9D6E-81C41E8BEA48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7477" name="BC$Y$24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DD09A54-C52E-484A-B98C-4364BFA1BC8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7475" name="BC$Y$24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2442878B-FFC6-4535-8CFB-52CF33FCEB87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7473" name="BC$Y$24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E6E969C-8B76-4CEB-B1F2-997AA77E46B2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471" name="BC$Y$24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4536C302-AD62-49DE-87D0-FCED145844CD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472" name="BC$Y$24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74D0FB11-F485-4C46-9554-D5F98A788D4A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7474" name="BC$Y$24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CE0F09DB-7DFA-4F7D-A3B4-50ABC7CBDF6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7476" name="BC$Y$24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6CF50FE9-2022-4F3E-B6CD-2B7B5BEE11FE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7478" name="BC$Y$24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94B52F9A-9BFE-4419-A169-DE656F71993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7480" name="BC$Y$24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005BF86-0DB0-4EA5-8B8E-E353A8F10303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7482" name="BC$Y$24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5382EF71-8B56-4282-8FFF-97F15A4793E4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7484" name="BC$Y$24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C784A342-4A98-4FAD-9290-CCC554FC3D05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9525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7486" name="BC$Y$24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E20A34B-0D82-47B1-B12A-94201DDC00DB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63500" y="9525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7488" name="BC$Y$24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4C88BF5-9FFF-4EDD-B8F4-2442B5F3C038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587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7490" name="BC$Y$24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D0F6FFD3-1F25-4BB0-9DEF-B35AF22723A4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90500" y="63500"/>
                                                                      <a:ext cx="31750" cy="635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7492" name="BC$Y$24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DCF53F05-BB4A-4837-9CD2-923E205A9755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5400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7494" name="BC$Y$24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A41543CA-835E-4788-A4B6-2DDEDE3449D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7496" name="BC$Y$24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C7C8E75-850C-4C13-A98A-A326EAEA669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7498" name="BC$Y$24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D5B25FC2-D57A-4941-96A0-8B230418200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2700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7500" name="BC$Y$24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017ECD0-5BCC-4334-8C0F-B94B407A139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63500" y="15875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7502" name="BC$Y$24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F0B49580-5872-44B8-8C64-400A02381EB9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27000" y="158750"/>
                                                          <a:ext cx="6350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7504" name="BC$Y$24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A962DE9F-ADA9-4DE3-8365-C30569559748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2225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7506" name="BC$Y$24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998DB51-7C48-4FEF-A070-D5360504A367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85750" y="127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7508" name="BC$Y$24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BFCB067B-1A93-449A-AF20-9E35EA59C92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5875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7510" name="BC$Y$24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D3ADD34B-1FCA-45F6-9EC2-E98BABF34E05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7512" name="BC$Y$24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E9C92093-9871-4C7A-8E77-BBE5F09E6404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7514" name="BC$Y$24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478BE83C-DD77-4567-84A8-2B3DE4212882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7516" name="BC$Y$24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D53270AE-59F2-47DF-864D-97008B150BCB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2700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7518" name="BC$Y$24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946BEA28-721C-40DF-B5DA-771E419E1709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905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7520" name="BC$Y$24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58CDC096-2521-4ED7-B7A5-D5963AD171CD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85750" y="222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7522" name="BC$Y$24#BR26">
                                      <a:extLst>
                                        <a:ext uri="{FF2B5EF4-FFF2-40B4-BE49-F238E27FC236}">
                                          <a16:creationId xmlns:a16="http://schemas.microsoft.com/office/drawing/2014/main" id="{65F51701-19E9-4DB2-B5CB-5E6836EB94FF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7524" name="BC$Y$24#BR27">
                                    <a:extLst>
                                      <a:ext uri="{FF2B5EF4-FFF2-40B4-BE49-F238E27FC236}">
                                        <a16:creationId xmlns:a16="http://schemas.microsoft.com/office/drawing/2014/main" id="{207D5F82-4DC6-4085-8C09-EE6DE45B79C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7526" name="BC$Y$24#BR28">
                                  <a:extLst>
                                    <a:ext uri="{FF2B5EF4-FFF2-40B4-BE49-F238E27FC236}">
                                      <a16:creationId xmlns:a16="http://schemas.microsoft.com/office/drawing/2014/main" id="{E1586F99-6C65-4442-84BF-DE30FA5DDDD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7528" name="BC$Y$24#BR29">
                                <a:extLst>
                                  <a:ext uri="{FF2B5EF4-FFF2-40B4-BE49-F238E27FC236}">
                                    <a16:creationId xmlns:a16="http://schemas.microsoft.com/office/drawing/2014/main" id="{02E2C37C-12E3-4114-9F4A-0A5DFEBCFBA9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7530" name="BC$Y$24#BR30">
                              <a:extLst>
                                <a:ext uri="{FF2B5EF4-FFF2-40B4-BE49-F238E27FC236}">
                                  <a16:creationId xmlns:a16="http://schemas.microsoft.com/office/drawing/2014/main" id="{8E8B7E72-77FA-4B6B-9CA6-55A6F0BE01C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7532" name="BC$Y$24#BR31">
                            <a:extLst>
                              <a:ext uri="{FF2B5EF4-FFF2-40B4-BE49-F238E27FC236}">
                                <a16:creationId xmlns:a16="http://schemas.microsoft.com/office/drawing/2014/main" id="{29CA255B-26B2-4512-9B79-4C606940E28C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7534" name="BC$Y$24#BR32">
                          <a:extLst>
                            <a:ext uri="{FF2B5EF4-FFF2-40B4-BE49-F238E27FC236}">
                              <a16:creationId xmlns:a16="http://schemas.microsoft.com/office/drawing/2014/main" id="{33935D08-147F-4918-9BA2-26780DE17CC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7536" name="BC$Y$24#BR33">
                        <a:extLst>
                          <a:ext uri="{FF2B5EF4-FFF2-40B4-BE49-F238E27FC236}">
                            <a16:creationId xmlns:a16="http://schemas.microsoft.com/office/drawing/2014/main" id="{ECAB24D3-3C40-4B13-AB4A-D4BF65E100F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7538" name="BC$Y$24#BR34">
                      <a:extLst>
                        <a:ext uri="{FF2B5EF4-FFF2-40B4-BE49-F238E27FC236}">
                          <a16:creationId xmlns:a16="http://schemas.microsoft.com/office/drawing/2014/main" id="{6BEBC647-2C75-4157-BEFC-00341ABAE285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7540" name="BC$Y$24#BR35">
                    <a:extLst>
                      <a:ext uri="{FF2B5EF4-FFF2-40B4-BE49-F238E27FC236}">
                        <a16:creationId xmlns:a16="http://schemas.microsoft.com/office/drawing/2014/main" id="{D7A59972-170A-4384-8BE8-2291CEA54341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7542" name="BC$Y$24#BR36">
                  <a:extLst>
                    <a:ext uri="{FF2B5EF4-FFF2-40B4-BE49-F238E27FC236}">
                      <a16:creationId xmlns:a16="http://schemas.microsoft.com/office/drawing/2014/main" id="{53847D0E-45D5-4298-8FAB-30CE4AAF0EEB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7544" name="BC$Y$24#BR37">
                <a:extLst>
                  <a:ext uri="{FF2B5EF4-FFF2-40B4-BE49-F238E27FC236}">
                    <a16:creationId xmlns:a16="http://schemas.microsoft.com/office/drawing/2014/main" id="{AE835D4E-F0E3-4256-80C1-2142387CB1C6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7546" name="BC$Y$24#BR38">
              <a:extLst>
                <a:ext uri="{FF2B5EF4-FFF2-40B4-BE49-F238E27FC236}">
                  <a16:creationId xmlns:a16="http://schemas.microsoft.com/office/drawing/2014/main" id="{1A444A7A-C3C6-4AFF-907C-3094DFD4FBF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7548" name="BC$Y$24#BR39">
            <a:extLst>
              <a:ext uri="{FF2B5EF4-FFF2-40B4-BE49-F238E27FC236}">
                <a16:creationId xmlns:a16="http://schemas.microsoft.com/office/drawing/2014/main" id="{6D6CE610-8E2B-4528-B191-7DFBBD51C166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28575</xdr:colOff>
      <xdr:row>41</xdr:row>
      <xdr:rowOff>0</xdr:rowOff>
    </xdr:from>
    <xdr:to>
      <xdr:col>13</xdr:col>
      <xdr:colOff>190500</xdr:colOff>
      <xdr:row>43</xdr:row>
      <xdr:rowOff>0</xdr:rowOff>
    </xdr:to>
    <xdr:grpSp>
      <xdr:nvGrpSpPr>
        <xdr:cNvPr id="17786" name="BC$J$35#GR">
          <a:extLst>
            <a:ext uri="{FF2B5EF4-FFF2-40B4-BE49-F238E27FC236}">
              <a16:creationId xmlns:a16="http://schemas.microsoft.com/office/drawing/2014/main" id="{B9D494F4-8E84-49A4-8BE3-55D0AFC43D3E}"/>
            </a:ext>
          </a:extLst>
        </xdr:cNvPr>
        <xdr:cNvGrpSpPr/>
      </xdr:nvGrpSpPr>
      <xdr:grpSpPr>
        <a:xfrm>
          <a:off x="2657475" y="7715250"/>
          <a:ext cx="381000" cy="381000"/>
          <a:chOff x="0" y="0"/>
          <a:chExt cx="381000" cy="381000"/>
        </a:xfrm>
      </xdr:grpSpPr>
      <xdr:grpSp>
        <xdr:nvGrpSpPr>
          <xdr:cNvPr id="17784" name="BC$J$35#GR">
            <a:extLst>
              <a:ext uri="{FF2B5EF4-FFF2-40B4-BE49-F238E27FC236}">
                <a16:creationId xmlns:a16="http://schemas.microsoft.com/office/drawing/2014/main" id="{69E912FE-BC8F-4FD8-8427-3ED6ED2A355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7782" name="BC$J$35#GR">
              <a:extLst>
                <a:ext uri="{FF2B5EF4-FFF2-40B4-BE49-F238E27FC236}">
                  <a16:creationId xmlns:a16="http://schemas.microsoft.com/office/drawing/2014/main" id="{B4D89B82-19A1-4247-9747-6045FEC9ABB9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7780" name="BC$J$35#GR">
                <a:extLst>
                  <a:ext uri="{FF2B5EF4-FFF2-40B4-BE49-F238E27FC236}">
                    <a16:creationId xmlns:a16="http://schemas.microsoft.com/office/drawing/2014/main" id="{2399B51D-8FF9-4E50-BC2C-E88BF71ED430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7778" name="BC$J$35#GR">
                  <a:extLst>
                    <a:ext uri="{FF2B5EF4-FFF2-40B4-BE49-F238E27FC236}">
                      <a16:creationId xmlns:a16="http://schemas.microsoft.com/office/drawing/2014/main" id="{6F1BF3AF-6A4F-4898-9580-D9B289635B6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7776" name="BC$J$35#GR">
                    <a:extLst>
                      <a:ext uri="{FF2B5EF4-FFF2-40B4-BE49-F238E27FC236}">
                        <a16:creationId xmlns:a16="http://schemas.microsoft.com/office/drawing/2014/main" id="{F22A3F5E-A986-4753-A511-6F540D651325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7774" name="BC$J$35#GR">
                      <a:extLst>
                        <a:ext uri="{FF2B5EF4-FFF2-40B4-BE49-F238E27FC236}">
                          <a16:creationId xmlns:a16="http://schemas.microsoft.com/office/drawing/2014/main" id="{515D37CF-B830-44AC-92E6-CB807742ECCB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7772" name="BC$J$35#GR">
                        <a:extLst>
                          <a:ext uri="{FF2B5EF4-FFF2-40B4-BE49-F238E27FC236}">
                            <a16:creationId xmlns:a16="http://schemas.microsoft.com/office/drawing/2014/main" id="{8CCEA81E-70A5-440B-BBAD-1159EEC2F0D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7770" name="BC$J$35#GR">
                          <a:extLst>
                            <a:ext uri="{FF2B5EF4-FFF2-40B4-BE49-F238E27FC236}">
                              <a16:creationId xmlns:a16="http://schemas.microsoft.com/office/drawing/2014/main" id="{0F722306-9F65-4BE9-9404-2892D5F856A5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7768" name="BC$J$35#GR">
                            <a:extLst>
                              <a:ext uri="{FF2B5EF4-FFF2-40B4-BE49-F238E27FC236}">
                                <a16:creationId xmlns:a16="http://schemas.microsoft.com/office/drawing/2014/main" id="{0F473DDB-30B8-4821-9F85-D04308C62C53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7766" name="BC$J$35#GR">
                              <a:extLst>
                                <a:ext uri="{FF2B5EF4-FFF2-40B4-BE49-F238E27FC236}">
                                  <a16:creationId xmlns:a16="http://schemas.microsoft.com/office/drawing/2014/main" id="{69C644EC-D798-4865-9C38-6419814AA0F8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7764" name="BC$J$35#GR">
                                <a:extLst>
                                  <a:ext uri="{FF2B5EF4-FFF2-40B4-BE49-F238E27FC236}">
                                    <a16:creationId xmlns:a16="http://schemas.microsoft.com/office/drawing/2014/main" id="{A538C99E-6A77-423E-BABD-12311EFEE2DA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7762" name="BC$J$35#GR">
                                  <a:extLst>
                                    <a:ext uri="{FF2B5EF4-FFF2-40B4-BE49-F238E27FC236}">
                                      <a16:creationId xmlns:a16="http://schemas.microsoft.com/office/drawing/2014/main" id="{6F822D8D-B41A-4302-BF95-39274AC210FA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7760" name="BC$J$35#GR">
                                    <a:extLst>
                                      <a:ext uri="{FF2B5EF4-FFF2-40B4-BE49-F238E27FC236}">
                                        <a16:creationId xmlns:a16="http://schemas.microsoft.com/office/drawing/2014/main" id="{EA33C053-77C8-4F3B-9C06-8B41334F549A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7758" name="BC$J$35#GR">
                                      <a:extLst>
                                        <a:ext uri="{FF2B5EF4-FFF2-40B4-BE49-F238E27FC236}">
                                          <a16:creationId xmlns:a16="http://schemas.microsoft.com/office/drawing/2014/main" id="{A0F62F1A-1865-46F4-8467-5F0C3059C73A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7756" name="BC$J$3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441D1E0-97A2-479D-850E-1C7B47958321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7754" name="BC$J$3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D333EC08-B809-482F-B999-056915225EEB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7752" name="BC$J$3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6F56DE26-A008-45A0-A588-449C32FE239D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7750" name="BC$J$3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F4A420D2-3172-4657-AEF6-008905A7210E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7748" name="BC$J$3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C8B0E85-9D59-45CC-9DF4-2FF844077A8C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7746" name="BC$J$3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703410C-8F5A-4F11-9A4B-9A9B782CC68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7744" name="BC$J$3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1C9115C-1689-47F0-A402-76E4989BD359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7742" name="BC$J$3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668DB7B6-242A-4AEC-852F-187726F9E799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740" name="BC$J$3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53224E42-A27A-4EC4-AC5C-3E49B9D4ECF5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7738" name="BC$J$3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F1A10B4-E881-4C3C-9BF7-2453B05286C5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7736" name="BC$J$3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710392F-D5F3-45A4-A2BE-E12E453CFA6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7734" name="BC$J$3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7341D3D2-8EBC-486E-B0A4-9A47E0AF664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7732" name="BC$J$3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1DFFB06-6968-454B-BAC0-87000E91B43E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7730" name="BC$J$3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FF596FC0-355D-4075-A174-1660C1FC473A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7728" name="BC$J$3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7CFE30C-1DD9-471E-84ED-3A8E412F8A9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7726" name="BC$J$3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ACAA1FEE-7FE9-44A5-9A50-4ACA8F74842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7724" name="BC$J$3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9A81B16-51A6-45B8-8251-06864BA90D7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7722" name="BC$J$3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67AB48BD-3A63-432F-89BA-D8AD02A76D6A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7720" name="BC$J$3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EAE17126-ACA7-473F-88FF-7CDF20230EBB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7718" name="BC$J$3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47177467-F821-4C68-9B48-C974B2F148E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7716" name="BC$J$3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84F237A7-6B23-4128-9FA7-C3B27453043D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7714" name="BC$J$3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ED4C4AD2-D80B-49B8-82E5-E5E2E9356987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7712" name="BC$J$35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A659C12-7DC8-4847-A6A3-7D452E44A81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7710" name="BC$J$35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F9167861-5FFC-446B-BE1A-352DB5998F7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708" name="BC$J$35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1B40C755-70F1-46CE-A6DF-5A7922AF1B5B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7709" name="BC$J$35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5FA85C6-B47D-47EF-A19A-781B53F9DEE3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7711" name="BC$J$35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D8CFBAE2-40DB-4F8A-AE13-9F364E1008B8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7713" name="BC$J$35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7FC320E0-74E7-45A7-B40D-FAFFE3C084F8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7715" name="BC$J$35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718D713-5366-47FD-A395-D413F837513F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7717" name="BC$J$35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C9C6B49-DAA5-4E02-A65F-875641E65F12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7719" name="BC$J$35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A1A9A254-9FCF-4AB3-8429-BA489144C8A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7721" name="BC$J$35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6A09D8EE-665E-4D2B-BA8A-9776FEC4862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7723" name="BC$J$35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D35D267B-5E62-496F-BF16-6606F7467ADC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7725" name="BC$J$35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839EFDD-C0EB-4ED2-86E0-246288C3520B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7727" name="BC$J$35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5F512D97-9603-47E8-AAD7-ED7450B4C463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7729" name="BC$J$35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44CEE8D5-08E2-4D93-B9FE-DA0C8881B078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85750" y="95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7731" name="BC$J$35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63364C67-9CA9-4B8B-8E01-D7EE1A6438D7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7733" name="BC$J$35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6EE7307B-A672-4E6E-89F0-D772A2DC567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7735" name="BC$J$35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2604FE1-6B38-45F0-8FAC-3290E75D0FFB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7737" name="BC$J$35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A42C2B3D-B918-4728-8081-ABB7B90A4234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7739" name="BC$J$35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C092C6D7-5E2D-4501-B763-F87918BFD625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7741" name="BC$J$35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4F5C13DE-9714-4BAC-9913-5EFD32B704AF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7743" name="BC$J$35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24C186A4-47D7-4C35-868F-CC72E64C08DF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7745" name="BC$J$35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99CC6337-2DA0-4AC0-B371-5268561ABE85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7747" name="BC$J$35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91294E8C-6C81-4B91-957A-9E84818BBC5B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7749" name="BC$J$35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4B952A0-1F6A-49C3-B3D5-19FD67CD5D90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7751" name="BC$J$35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184E96DC-9886-4DDE-B5D4-12C89DA5AE7A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95250" y="190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7753" name="BC$J$35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23E9BAF6-EA2D-4246-9AC3-781E32C78D7D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63500" y="22225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7755" name="BC$J$35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1401AF29-C107-456A-BC48-A6D63C1DDEFA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27000" y="190500"/>
                                          <a:ext cx="6350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7757" name="BC$J$35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9A732F72-9667-44DA-973F-F3CC53AD0C7C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6350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7759" name="BC$J$35#BR26">
                                      <a:extLst>
                                        <a:ext uri="{FF2B5EF4-FFF2-40B4-BE49-F238E27FC236}">
                                          <a16:creationId xmlns:a16="http://schemas.microsoft.com/office/drawing/2014/main" id="{3B0DF0AE-26E7-4418-8406-CA29CF158D41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7761" name="BC$J$35#BR27">
                                    <a:extLst>
                                      <a:ext uri="{FF2B5EF4-FFF2-40B4-BE49-F238E27FC236}">
                                        <a16:creationId xmlns:a16="http://schemas.microsoft.com/office/drawing/2014/main" id="{68F0D5B6-4F8B-4EE5-B93B-214D56D2A316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7763" name="BC$J$35#BR28">
                                  <a:extLst>
                                    <a:ext uri="{FF2B5EF4-FFF2-40B4-BE49-F238E27FC236}">
                                      <a16:creationId xmlns:a16="http://schemas.microsoft.com/office/drawing/2014/main" id="{F16318A2-95E3-4A9F-B8B8-9F3E5EFA796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54000"/>
                                  <a:ext cx="63500" cy="635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7765" name="BC$J$35#BR29">
                                <a:extLst>
                                  <a:ext uri="{FF2B5EF4-FFF2-40B4-BE49-F238E27FC236}">
                                    <a16:creationId xmlns:a16="http://schemas.microsoft.com/office/drawing/2014/main" id="{140FD1EC-BAD3-4C76-AEF6-78B2B5C201FA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7767" name="BC$J$35#BR30">
                              <a:extLst>
                                <a:ext uri="{FF2B5EF4-FFF2-40B4-BE49-F238E27FC236}">
                                  <a16:creationId xmlns:a16="http://schemas.microsoft.com/office/drawing/2014/main" id="{E92EA771-232C-4F97-AABA-A883DBE3978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7769" name="BC$J$35#BR31">
                            <a:extLst>
                              <a:ext uri="{FF2B5EF4-FFF2-40B4-BE49-F238E27FC236}">
                                <a16:creationId xmlns:a16="http://schemas.microsoft.com/office/drawing/2014/main" id="{AD70CE9A-5A1C-498F-94F8-C04D408F7D2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85750" y="25400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7771" name="BC$J$35#BR32">
                          <a:extLst>
                            <a:ext uri="{FF2B5EF4-FFF2-40B4-BE49-F238E27FC236}">
                              <a16:creationId xmlns:a16="http://schemas.microsoft.com/office/drawing/2014/main" id="{98458D93-375C-4855-85A5-8891DE33AEA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8575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7773" name="BC$J$35#BR33">
                        <a:extLst>
                          <a:ext uri="{FF2B5EF4-FFF2-40B4-BE49-F238E27FC236}">
                            <a16:creationId xmlns:a16="http://schemas.microsoft.com/office/drawing/2014/main" id="{77AA68E0-D2C2-48F0-8593-235774E7AA6D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7775" name="BC$J$35#BR34">
                      <a:extLst>
                        <a:ext uri="{FF2B5EF4-FFF2-40B4-BE49-F238E27FC236}">
                          <a16:creationId xmlns:a16="http://schemas.microsoft.com/office/drawing/2014/main" id="{AAAF9AC0-B81A-42CC-93EE-6FFA4B8A762C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7777" name="BC$J$35#BR35">
                    <a:extLst>
                      <a:ext uri="{FF2B5EF4-FFF2-40B4-BE49-F238E27FC236}">
                        <a16:creationId xmlns:a16="http://schemas.microsoft.com/office/drawing/2014/main" id="{717418A9-DB67-4692-8C7D-7705D7837E1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7779" name="BC$J$35#BR36">
                  <a:extLst>
                    <a:ext uri="{FF2B5EF4-FFF2-40B4-BE49-F238E27FC236}">
                      <a16:creationId xmlns:a16="http://schemas.microsoft.com/office/drawing/2014/main" id="{4DE1B90B-6097-4940-846A-68E8272634C2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7781" name="BC$J$35#BR37">
                <a:extLst>
                  <a:ext uri="{FF2B5EF4-FFF2-40B4-BE49-F238E27FC236}">
                    <a16:creationId xmlns:a16="http://schemas.microsoft.com/office/drawing/2014/main" id="{5BA20752-B28A-4EC4-ACA1-697045C3BB4F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7783" name="BC$J$35#BR38">
              <a:extLst>
                <a:ext uri="{FF2B5EF4-FFF2-40B4-BE49-F238E27FC236}">
                  <a16:creationId xmlns:a16="http://schemas.microsoft.com/office/drawing/2014/main" id="{1CCF3D76-EE4C-4FDA-9CA1-CDDEA55C4312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7785" name="BC$J$35#BR39">
            <a:extLst>
              <a:ext uri="{FF2B5EF4-FFF2-40B4-BE49-F238E27FC236}">
                <a16:creationId xmlns:a16="http://schemas.microsoft.com/office/drawing/2014/main" id="{581762F7-1E4E-4D51-A1C0-9D59EF2CD454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0</xdr:col>
      <xdr:colOff>31750</xdr:colOff>
      <xdr:row>0</xdr:row>
      <xdr:rowOff>31750</xdr:rowOff>
    </xdr:from>
    <xdr:to>
      <xdr:col>0</xdr:col>
      <xdr:colOff>63500</xdr:colOff>
      <xdr:row>0</xdr:row>
      <xdr:rowOff>63500</xdr:rowOff>
    </xdr:to>
    <xdr:sp macro="" textlink="">
      <xdr:nvSpPr>
        <xdr:cNvPr id="17869" name="BC$Y$35#BR1">
          <a:extLst>
            <a:ext uri="{FF2B5EF4-FFF2-40B4-BE49-F238E27FC236}">
              <a16:creationId xmlns:a16="http://schemas.microsoft.com/office/drawing/2014/main" id="{8CE82FA4-9083-4003-858F-054BCAA7A794}"/>
            </a:ext>
          </a:extLst>
        </xdr:cNvPr>
        <xdr:cNvSpPr/>
      </xdr:nvSpPr>
      <xdr:spPr>
        <a:xfrm>
          <a:off x="31750" y="31750"/>
          <a:ext cx="31750" cy="3175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50800</xdr:colOff>
      <xdr:row>151</xdr:row>
      <xdr:rowOff>31750</xdr:rowOff>
    </xdr:from>
    <xdr:to>
      <xdr:col>27</xdr:col>
      <xdr:colOff>149225</xdr:colOff>
      <xdr:row>152</xdr:row>
      <xdr:rowOff>158750</xdr:rowOff>
    </xdr:to>
    <xdr:grpSp>
      <xdr:nvGrpSpPr>
        <xdr:cNvPr id="17944" name="BC$Y$35#GR">
          <a:extLst>
            <a:ext uri="{FF2B5EF4-FFF2-40B4-BE49-F238E27FC236}">
              <a16:creationId xmlns:a16="http://schemas.microsoft.com/office/drawing/2014/main" id="{38549B2B-C00D-4665-9CCF-31AED0615421}"/>
            </a:ext>
          </a:extLst>
        </xdr:cNvPr>
        <xdr:cNvGrpSpPr/>
      </xdr:nvGrpSpPr>
      <xdr:grpSpPr>
        <a:xfrm>
          <a:off x="5794375" y="28702000"/>
          <a:ext cx="317500" cy="317500"/>
          <a:chOff x="0" y="0"/>
          <a:chExt cx="381000" cy="381000"/>
        </a:xfrm>
      </xdr:grpSpPr>
      <xdr:grpSp>
        <xdr:nvGrpSpPr>
          <xdr:cNvPr id="17942" name="BC$Y$35#GR">
            <a:extLst>
              <a:ext uri="{FF2B5EF4-FFF2-40B4-BE49-F238E27FC236}">
                <a16:creationId xmlns:a16="http://schemas.microsoft.com/office/drawing/2014/main" id="{463889D7-2230-4C62-81E6-BD42CFCFBF80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7940" name="BC$Y$35#GR">
              <a:extLst>
                <a:ext uri="{FF2B5EF4-FFF2-40B4-BE49-F238E27FC236}">
                  <a16:creationId xmlns:a16="http://schemas.microsoft.com/office/drawing/2014/main" id="{276CA31B-BA03-4006-BB7E-2053C64A6388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7938" name="BC$Y$35#GR">
                <a:extLst>
                  <a:ext uri="{FF2B5EF4-FFF2-40B4-BE49-F238E27FC236}">
                    <a16:creationId xmlns:a16="http://schemas.microsoft.com/office/drawing/2014/main" id="{9F9DBDDF-DE17-4E14-ABF1-6E60D95043E2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7936" name="BC$Y$35#GR">
                  <a:extLst>
                    <a:ext uri="{FF2B5EF4-FFF2-40B4-BE49-F238E27FC236}">
                      <a16:creationId xmlns:a16="http://schemas.microsoft.com/office/drawing/2014/main" id="{80121E83-0E30-4709-BFBB-1A5AD2C6BEE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7934" name="BC$Y$35#GR">
                    <a:extLst>
                      <a:ext uri="{FF2B5EF4-FFF2-40B4-BE49-F238E27FC236}">
                        <a16:creationId xmlns:a16="http://schemas.microsoft.com/office/drawing/2014/main" id="{16A0C6BC-2529-4194-8800-58D22B302618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7932" name="BC$Y$35#GR">
                      <a:extLst>
                        <a:ext uri="{FF2B5EF4-FFF2-40B4-BE49-F238E27FC236}">
                          <a16:creationId xmlns:a16="http://schemas.microsoft.com/office/drawing/2014/main" id="{50BBCE51-EA34-4D8A-B9BD-C8FF47CCEBA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7930" name="BC$Y$35#GR">
                        <a:extLst>
                          <a:ext uri="{FF2B5EF4-FFF2-40B4-BE49-F238E27FC236}">
                            <a16:creationId xmlns:a16="http://schemas.microsoft.com/office/drawing/2014/main" id="{894A06C5-72E0-4F3D-B1DA-5E8D628B9416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7928" name="BC$Y$35#GR">
                          <a:extLst>
                            <a:ext uri="{FF2B5EF4-FFF2-40B4-BE49-F238E27FC236}">
                              <a16:creationId xmlns:a16="http://schemas.microsoft.com/office/drawing/2014/main" id="{08AB6AB3-1E74-4BE4-97AA-D5C6FA09BE03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7926" name="BC$Y$35#GR">
                            <a:extLst>
                              <a:ext uri="{FF2B5EF4-FFF2-40B4-BE49-F238E27FC236}">
                                <a16:creationId xmlns:a16="http://schemas.microsoft.com/office/drawing/2014/main" id="{74D9BE41-8CC1-40B6-A24F-C091EC47F041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7924" name="BC$Y$35#GR">
                              <a:extLst>
                                <a:ext uri="{FF2B5EF4-FFF2-40B4-BE49-F238E27FC236}">
                                  <a16:creationId xmlns:a16="http://schemas.microsoft.com/office/drawing/2014/main" id="{B8E429BE-AF25-4B4A-AED9-C95A8F9F591E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7922" name="BC$Y$35#GR">
                                <a:extLst>
                                  <a:ext uri="{FF2B5EF4-FFF2-40B4-BE49-F238E27FC236}">
                                    <a16:creationId xmlns:a16="http://schemas.microsoft.com/office/drawing/2014/main" id="{E54A73DE-0124-447C-8A7C-9A2D9C4D8E7C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7920" name="BC$Y$35#GR">
                                  <a:extLst>
                                    <a:ext uri="{FF2B5EF4-FFF2-40B4-BE49-F238E27FC236}">
                                      <a16:creationId xmlns:a16="http://schemas.microsoft.com/office/drawing/2014/main" id="{74711EB6-3A4F-4E86-AC14-BC66A67FBEFE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7918" name="BC$Y$35#GR">
                                    <a:extLst>
                                      <a:ext uri="{FF2B5EF4-FFF2-40B4-BE49-F238E27FC236}">
                                        <a16:creationId xmlns:a16="http://schemas.microsoft.com/office/drawing/2014/main" id="{F22D1FDE-C8E0-43DE-BD14-2F6E0041613D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7916" name="BC$Y$35#GR">
                                      <a:extLst>
                                        <a:ext uri="{FF2B5EF4-FFF2-40B4-BE49-F238E27FC236}">
                                          <a16:creationId xmlns:a16="http://schemas.microsoft.com/office/drawing/2014/main" id="{0B2D1C33-9D7C-4838-B526-43B65641D776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7914" name="BC$Y$3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9E0AFB0-2E5C-41D5-AD4C-32D445F4B52E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7912" name="BC$Y$3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C781281-CE80-4D3A-8C1D-DAF77E954BBD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7910" name="BC$Y$3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69A77F0-0C98-4424-B324-1A993A1B6947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7908" name="BC$Y$3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D1BF8E1-495D-42B6-990C-34B84EF1B287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7906" name="BC$Y$3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CAD01A3E-A5DC-4E2A-AABA-96186BBDC32E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7904" name="BC$Y$3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6474025E-3426-4FAE-B062-69F711C4EE78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7902" name="BC$Y$3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18AA82C4-3140-44BE-96CA-FE0DDBAA160D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7900" name="BC$Y$3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EF9EC8E5-2DF8-46AF-A67A-EC4989A4FF1A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898" name="BC$Y$3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7A96012E-1D9E-496F-858A-FC388A14829F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7896" name="BC$Y$3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ECBDBB38-C58D-45A2-B328-B754392A29CA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7894" name="BC$Y$3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E1E2668F-C899-44DF-9BF5-D0ECDE01421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7892" name="BC$Y$3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AED37816-4F47-4C2D-A8E6-C50CA0C9D3C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7890" name="BC$Y$3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E52B6674-DF28-4EB5-9F65-E5409B806437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7888" name="BC$Y$3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FCF6959-1B85-4001-B789-9D6F551AF4FD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7886" name="BC$Y$3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525EE3DC-9A23-4197-8DDC-5AD468781ADA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7884" name="BC$Y$3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146F8255-E2CD-4DE5-8BA1-E056C5355022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7882" name="BC$Y$3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50D07E42-28A2-49D7-9191-505B1CFBF8D4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7880" name="BC$Y$3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EF1232D6-3582-4DC6-955B-B18F4A30085D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7878" name="BC$Y$3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7AC763F4-CC15-4D81-B3B8-74AD918E4E6D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7876" name="BC$Y$3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200718D-A409-43E6-A477-4A83559DB940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7874" name="BC$Y$3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EAA518C0-E2D7-40F2-9149-A59F00F5D08A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7872" name="BC$Y$3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1536DAD-83F7-485A-B7AC-CED15B75D01B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7870" name="BC$Y$35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1302EBD5-F407-4E53-8BC6-986492F5E6CC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7788" name="BC$Y$35#BR1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7CC029C-FE33-4987-BDD5-AE8231B66A90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317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7868" name="BC$Y$35#BK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01F7E619-E574-4D75-A14D-BD52B4A18853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FFFFFF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rgbClr val="FFFFFF"/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7871" name="BC$Y$35#BR2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CEDF66B6-F565-4055-B2F1-4F80C17739FB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952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7873" name="BC$Y$35#BR3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DA614D8C-DC72-4369-8436-A786A4C6EB5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1587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7875" name="BC$Y$35#BR4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E781618-3422-4738-9F26-FAC6DC5697FF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222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7877" name="BC$Y$35#BR5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B9C2EF4A-6B7A-4C5A-90B7-D5E29B22A163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285750" y="31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7879" name="BC$Y$35#BR6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FFF2C9F-90C5-4A93-93A1-30FF8673EA8E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31750" y="63500"/>
                                                                            <a:ext cx="3175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7881" name="BC$Y$35#BR7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A46E80A2-4B76-400A-93D5-9D46644F5026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63500" y="635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7883" name="BC$Y$35#BR8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6C5E5BDE-FB94-401C-95D1-120C7A4F148C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5875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7885" name="BC$Y$35#BR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67762197-E6EA-454C-85D1-0A50AAF84C18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90500" y="63500"/>
                                                                      <a:ext cx="31750" cy="635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7887" name="BC$Y$35#BR10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E87282F-D9D9-48D1-8939-EC3D6A58A93D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254000" y="6350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7889" name="BC$Y$35#BR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3E479E9-B4E6-4169-95B0-D0BCDBEF37F9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63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7891" name="BC$Y$35#BR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CCB0AFF5-30E6-4584-A42C-8106732C1348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750" y="127000"/>
                                                                <a:ext cx="3175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7893" name="BC$Y$35#BR1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B1157EC4-FB3E-4F7E-A219-49519AC3FBE6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3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7895" name="BC$Y$35#BR14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BBAC8CB-5A95-4335-86AD-70C2868A3E8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27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7897" name="BC$Y$35#BR15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5FEE002E-5311-438C-8BD9-AD5C2942409D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158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7899" name="BC$Y$35#BR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9B4E66A-7643-4CB9-AC79-BF46101C2B39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90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7901" name="BC$Y$35#BR1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BE5E1D4E-35CB-47F5-83DB-43874FAB3B3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222250" y="1587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7903" name="BC$Y$35#BR1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441F6EA6-2B4E-46EA-A4FC-99C8C8CA0D14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254000" y="1270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7905" name="BC$Y$35#BR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50469084-80B1-41F6-81AB-EF684193B641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317500" y="1270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7907" name="BC$Y$35#BR2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5A9F2968-CC9E-4EDA-B687-DE991AC8106D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31750" y="190500"/>
                                                <a:ext cx="31750" cy="635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7909" name="BC$Y$35#BR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DF01779D-702A-4EDB-84E6-17769A97149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63500" y="190500"/>
                                              <a:ext cx="6350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7911" name="BC$Y$35#BR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980881E5-0465-4CEC-9F00-21995C075059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95250" y="222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7913" name="BC$Y$35#BR2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6DE24EE0-3353-48D6-B6C7-722E9175B36E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190500" y="190500"/>
                                          <a:ext cx="3175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7915" name="BC$Y$35#BR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B743E0F-D373-47DD-811F-E24CEB902DAD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54000" y="1905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7917" name="BC$Y$35#BR25">
                                      <a:extLst>
                                        <a:ext uri="{FF2B5EF4-FFF2-40B4-BE49-F238E27FC236}">
                                          <a16:creationId xmlns:a16="http://schemas.microsoft.com/office/drawing/2014/main" id="{1A84EE57-0B6E-4F73-87C3-6D662F378195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0" y="190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7919" name="BC$Y$35#BR26">
                                    <a:extLst>
                                      <a:ext uri="{FF2B5EF4-FFF2-40B4-BE49-F238E27FC236}">
                                        <a16:creationId xmlns:a16="http://schemas.microsoft.com/office/drawing/2014/main" id="{38997D2C-44F3-47E9-A839-681F1C7AB8C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1750" y="254000"/>
                                    <a:ext cx="31750" cy="635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7921" name="BC$Y$35#BR27">
                                  <a:extLst>
                                    <a:ext uri="{FF2B5EF4-FFF2-40B4-BE49-F238E27FC236}">
                                      <a16:creationId xmlns:a16="http://schemas.microsoft.com/office/drawing/2014/main" id="{CFBA1217-FDC0-4F4F-B89D-3336A5E3A49E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95250" y="254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7923" name="BC$Y$35#BR28">
                                <a:extLst>
                                  <a:ext uri="{FF2B5EF4-FFF2-40B4-BE49-F238E27FC236}">
                                    <a16:creationId xmlns:a16="http://schemas.microsoft.com/office/drawing/2014/main" id="{ED0E6495-74EA-4B1E-8C20-AFE9CCD2AC1C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63500" y="28575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7925" name="BC$Y$35#BR29">
                              <a:extLst>
                                <a:ext uri="{FF2B5EF4-FFF2-40B4-BE49-F238E27FC236}">
                                  <a16:creationId xmlns:a16="http://schemas.microsoft.com/office/drawing/2014/main" id="{99B38C92-3C3D-420A-B659-4FBD390F60D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7000" y="254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7927" name="BC$Y$35#BR30">
                            <a:extLst>
                              <a:ext uri="{FF2B5EF4-FFF2-40B4-BE49-F238E27FC236}">
                                <a16:creationId xmlns:a16="http://schemas.microsoft.com/office/drawing/2014/main" id="{185FED58-84EB-493B-9531-AFD57EDE9F4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54000"/>
                            <a:ext cx="31750" cy="6350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7929" name="BC$Y$35#BR31">
                          <a:extLst>
                            <a:ext uri="{FF2B5EF4-FFF2-40B4-BE49-F238E27FC236}">
                              <a16:creationId xmlns:a16="http://schemas.microsoft.com/office/drawing/2014/main" id="{2F2DD76F-AF7C-41C4-938E-DDCC5931C69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7931" name="BC$Y$35#BR32">
                        <a:extLst>
                          <a:ext uri="{FF2B5EF4-FFF2-40B4-BE49-F238E27FC236}">
                            <a16:creationId xmlns:a16="http://schemas.microsoft.com/office/drawing/2014/main" id="{BF5F9CDD-7617-48D2-9B57-60C04F84863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7933" name="BC$Y$35#BR33">
                      <a:extLst>
                        <a:ext uri="{FF2B5EF4-FFF2-40B4-BE49-F238E27FC236}">
                          <a16:creationId xmlns:a16="http://schemas.microsoft.com/office/drawing/2014/main" id="{B85653EC-02AA-4765-9938-DC9C69E572C1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7935" name="BC$Y$35#BR34">
                    <a:extLst>
                      <a:ext uri="{FF2B5EF4-FFF2-40B4-BE49-F238E27FC236}">
                        <a16:creationId xmlns:a16="http://schemas.microsoft.com/office/drawing/2014/main" id="{C1C60633-1B6E-4C32-B40F-816609427BA9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7937" name="BC$Y$35#BR35">
                  <a:extLst>
                    <a:ext uri="{FF2B5EF4-FFF2-40B4-BE49-F238E27FC236}">
                      <a16:creationId xmlns:a16="http://schemas.microsoft.com/office/drawing/2014/main" id="{50B1A775-A621-4792-9A00-E5E7DB140B81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7939" name="BC$Y$35#BR36">
                <a:extLst>
                  <a:ext uri="{FF2B5EF4-FFF2-40B4-BE49-F238E27FC236}">
                    <a16:creationId xmlns:a16="http://schemas.microsoft.com/office/drawing/2014/main" id="{EA09BD44-6F28-470E-B5B5-6F7DCE05929C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7941" name="BC$Y$35#BR37">
              <a:extLst>
                <a:ext uri="{FF2B5EF4-FFF2-40B4-BE49-F238E27FC236}">
                  <a16:creationId xmlns:a16="http://schemas.microsoft.com/office/drawing/2014/main" id="{9440642D-EDB1-4365-A800-0F5B38887D93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7943" name="BC$Y$35#BR38">
            <a:extLst>
              <a:ext uri="{FF2B5EF4-FFF2-40B4-BE49-F238E27FC236}">
                <a16:creationId xmlns:a16="http://schemas.microsoft.com/office/drawing/2014/main" id="{63AA9B42-A89D-4E59-85D2-7EC2E82915B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28575</xdr:colOff>
      <xdr:row>41</xdr:row>
      <xdr:rowOff>19050</xdr:rowOff>
    </xdr:from>
    <xdr:to>
      <xdr:col>27</xdr:col>
      <xdr:colOff>190500</xdr:colOff>
      <xdr:row>43</xdr:row>
      <xdr:rowOff>19050</xdr:rowOff>
    </xdr:to>
    <xdr:grpSp>
      <xdr:nvGrpSpPr>
        <xdr:cNvPr id="18177" name="BC$X$35#GR">
          <a:extLst>
            <a:ext uri="{FF2B5EF4-FFF2-40B4-BE49-F238E27FC236}">
              <a16:creationId xmlns:a16="http://schemas.microsoft.com/office/drawing/2014/main" id="{88CB646F-C755-4074-B291-45691F0674EA}"/>
            </a:ext>
          </a:extLst>
        </xdr:cNvPr>
        <xdr:cNvGrpSpPr/>
      </xdr:nvGrpSpPr>
      <xdr:grpSpPr>
        <a:xfrm>
          <a:off x="5772150" y="7734300"/>
          <a:ext cx="381000" cy="381000"/>
          <a:chOff x="0" y="0"/>
          <a:chExt cx="381000" cy="381000"/>
        </a:xfrm>
      </xdr:grpSpPr>
      <xdr:grpSp>
        <xdr:nvGrpSpPr>
          <xdr:cNvPr id="18175" name="BC$X$35#GR">
            <a:extLst>
              <a:ext uri="{FF2B5EF4-FFF2-40B4-BE49-F238E27FC236}">
                <a16:creationId xmlns:a16="http://schemas.microsoft.com/office/drawing/2014/main" id="{4EB672E3-3557-43E7-AB32-1CD54F575CD3}"/>
              </a:ext>
            </a:extLst>
          </xdr:cNvPr>
          <xdr:cNvGrpSpPr/>
        </xdr:nvGrpSpPr>
        <xdr:grpSpPr>
          <a:xfrm>
            <a:off x="0" y="0"/>
            <a:ext cx="381000" cy="381000"/>
            <a:chOff x="0" y="0"/>
            <a:chExt cx="381000" cy="381000"/>
          </a:xfrm>
        </xdr:grpSpPr>
        <xdr:grpSp>
          <xdr:nvGrpSpPr>
            <xdr:cNvPr id="18173" name="BC$X$35#GR">
              <a:extLst>
                <a:ext uri="{FF2B5EF4-FFF2-40B4-BE49-F238E27FC236}">
                  <a16:creationId xmlns:a16="http://schemas.microsoft.com/office/drawing/2014/main" id="{A7716BEC-3BFD-4F58-97E3-15E04FC3501D}"/>
                </a:ext>
              </a:extLst>
            </xdr:cNvPr>
            <xdr:cNvGrpSpPr/>
          </xdr:nvGrpSpPr>
          <xdr:grpSpPr>
            <a:xfrm>
              <a:off x="0" y="0"/>
              <a:ext cx="381000" cy="381000"/>
              <a:chOff x="0" y="0"/>
              <a:chExt cx="381000" cy="381000"/>
            </a:xfrm>
          </xdr:grpSpPr>
          <xdr:grpSp>
            <xdr:nvGrpSpPr>
              <xdr:cNvPr id="18171" name="BC$X$35#GR">
                <a:extLst>
                  <a:ext uri="{FF2B5EF4-FFF2-40B4-BE49-F238E27FC236}">
                    <a16:creationId xmlns:a16="http://schemas.microsoft.com/office/drawing/2014/main" id="{1F2F69A8-B4B6-44DB-B31D-BB19BD0DBF54}"/>
                  </a:ext>
                </a:extLst>
              </xdr:cNvPr>
              <xdr:cNvGrpSpPr/>
            </xdr:nvGrpSpPr>
            <xdr:grpSpPr>
              <a:xfrm>
                <a:off x="0" y="0"/>
                <a:ext cx="381000" cy="381000"/>
                <a:chOff x="0" y="0"/>
                <a:chExt cx="381000" cy="381000"/>
              </a:xfrm>
            </xdr:grpSpPr>
            <xdr:grpSp>
              <xdr:nvGrpSpPr>
                <xdr:cNvPr id="18169" name="BC$X$35#GR">
                  <a:extLst>
                    <a:ext uri="{FF2B5EF4-FFF2-40B4-BE49-F238E27FC236}">
                      <a16:creationId xmlns:a16="http://schemas.microsoft.com/office/drawing/2014/main" id="{D1A53A3C-DBEA-4189-9B96-8857035F9865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81000" cy="381000"/>
                  <a:chOff x="0" y="0"/>
                  <a:chExt cx="381000" cy="381000"/>
                </a:xfrm>
              </xdr:grpSpPr>
              <xdr:grpSp>
                <xdr:nvGrpSpPr>
                  <xdr:cNvPr id="18167" name="BC$X$35#GR">
                    <a:extLst>
                      <a:ext uri="{FF2B5EF4-FFF2-40B4-BE49-F238E27FC236}">
                        <a16:creationId xmlns:a16="http://schemas.microsoft.com/office/drawing/2014/main" id="{2733EE8A-7B3E-4E67-93E7-1DA67BB98554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81000" cy="381000"/>
                    <a:chOff x="0" y="0"/>
                    <a:chExt cx="381000" cy="381000"/>
                  </a:xfrm>
                </xdr:grpSpPr>
                <xdr:grpSp>
                  <xdr:nvGrpSpPr>
                    <xdr:cNvPr id="18165" name="BC$X$35#GR">
                      <a:extLst>
                        <a:ext uri="{FF2B5EF4-FFF2-40B4-BE49-F238E27FC236}">
                          <a16:creationId xmlns:a16="http://schemas.microsoft.com/office/drawing/2014/main" id="{B376D8A4-D19D-40DB-A21F-D19444E72D00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81000" cy="381000"/>
                      <a:chOff x="0" y="0"/>
                      <a:chExt cx="381000" cy="381000"/>
                    </a:xfrm>
                  </xdr:grpSpPr>
                  <xdr:grpSp>
                    <xdr:nvGrpSpPr>
                      <xdr:cNvPr id="18163" name="BC$X$35#GR">
                        <a:extLst>
                          <a:ext uri="{FF2B5EF4-FFF2-40B4-BE49-F238E27FC236}">
                            <a16:creationId xmlns:a16="http://schemas.microsoft.com/office/drawing/2014/main" id="{9E514AA5-A286-4E53-AB3A-CDE4D811965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81000" cy="381000"/>
                        <a:chOff x="0" y="0"/>
                        <a:chExt cx="381000" cy="381000"/>
                      </a:xfrm>
                    </xdr:grpSpPr>
                    <xdr:grpSp>
                      <xdr:nvGrpSpPr>
                        <xdr:cNvPr id="18161" name="BC$X$35#GR">
                          <a:extLst>
                            <a:ext uri="{FF2B5EF4-FFF2-40B4-BE49-F238E27FC236}">
                              <a16:creationId xmlns:a16="http://schemas.microsoft.com/office/drawing/2014/main" id="{72EA0D24-C4C7-41E6-9618-83118573A791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81000" cy="381000"/>
                          <a:chOff x="0" y="0"/>
                          <a:chExt cx="381000" cy="381000"/>
                        </a:xfrm>
                      </xdr:grpSpPr>
                      <xdr:grpSp>
                        <xdr:nvGrpSpPr>
                          <xdr:cNvPr id="18159" name="BC$X$35#GR">
                            <a:extLst>
                              <a:ext uri="{FF2B5EF4-FFF2-40B4-BE49-F238E27FC236}">
                                <a16:creationId xmlns:a16="http://schemas.microsoft.com/office/drawing/2014/main" id="{8A803B08-D765-4A9F-986C-A3195601DF6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81000" cy="381000"/>
                            <a:chOff x="0" y="0"/>
                            <a:chExt cx="381000" cy="381000"/>
                          </a:xfrm>
                        </xdr:grpSpPr>
                        <xdr:grpSp>
                          <xdr:nvGrpSpPr>
                            <xdr:cNvPr id="18157" name="BC$X$35#GR">
                              <a:extLst>
                                <a:ext uri="{FF2B5EF4-FFF2-40B4-BE49-F238E27FC236}">
                                  <a16:creationId xmlns:a16="http://schemas.microsoft.com/office/drawing/2014/main" id="{3954ED3C-7867-4C49-8C53-F81645F8281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81000" cy="381000"/>
                              <a:chOff x="0" y="0"/>
                              <a:chExt cx="381000" cy="381000"/>
                            </a:xfrm>
                          </xdr:grpSpPr>
                          <xdr:grpSp>
                            <xdr:nvGrpSpPr>
                              <xdr:cNvPr id="18155" name="BC$X$35#GR">
                                <a:extLst>
                                  <a:ext uri="{FF2B5EF4-FFF2-40B4-BE49-F238E27FC236}">
                                    <a16:creationId xmlns:a16="http://schemas.microsoft.com/office/drawing/2014/main" id="{213413B0-D5BE-4F85-B580-1B953D0CF035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81000" cy="381000"/>
                                <a:chOff x="0" y="0"/>
                                <a:chExt cx="381000" cy="381000"/>
                              </a:xfrm>
                            </xdr:grpSpPr>
                            <xdr:grpSp>
                              <xdr:nvGrpSpPr>
                                <xdr:cNvPr id="18153" name="BC$X$35#GR">
                                  <a:extLst>
                                    <a:ext uri="{FF2B5EF4-FFF2-40B4-BE49-F238E27FC236}">
                                      <a16:creationId xmlns:a16="http://schemas.microsoft.com/office/drawing/2014/main" id="{58956929-FD5E-4FE0-9E1F-AF77EE0085AB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81000" cy="381000"/>
                                  <a:chOff x="0" y="0"/>
                                  <a:chExt cx="381000" cy="381000"/>
                                </a:xfrm>
                              </xdr:grpSpPr>
                              <xdr:grpSp>
                                <xdr:nvGrpSpPr>
                                  <xdr:cNvPr id="18151" name="BC$X$35#GR">
                                    <a:extLst>
                                      <a:ext uri="{FF2B5EF4-FFF2-40B4-BE49-F238E27FC236}">
                                        <a16:creationId xmlns:a16="http://schemas.microsoft.com/office/drawing/2014/main" id="{EEAF5D4E-A0C9-4185-8EA2-D5252BBF2E64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81000" cy="381000"/>
                                    <a:chOff x="0" y="0"/>
                                    <a:chExt cx="381000" cy="381000"/>
                                  </a:xfrm>
                                </xdr:grpSpPr>
                                <xdr:grpSp>
                                  <xdr:nvGrpSpPr>
                                    <xdr:cNvPr id="18149" name="BC$X$35#GR">
                                      <a:extLst>
                                        <a:ext uri="{FF2B5EF4-FFF2-40B4-BE49-F238E27FC236}">
                                          <a16:creationId xmlns:a16="http://schemas.microsoft.com/office/drawing/2014/main" id="{8D4FEACE-C3D4-493F-99DC-0C2B50D0C4AF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81000" cy="381000"/>
                                      <a:chOff x="0" y="0"/>
                                      <a:chExt cx="381000" cy="381000"/>
                                    </a:xfrm>
                                  </xdr:grpSpPr>
                                  <xdr:grpSp>
                                    <xdr:nvGrpSpPr>
                                      <xdr:cNvPr id="18147" name="BC$X$35#GR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C440FB4B-96CF-46BD-B565-D9E4FCCC522B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81000" cy="381000"/>
                                        <a:chOff x="0" y="0"/>
                                        <a:chExt cx="381000" cy="381000"/>
                                      </a:xfrm>
                                    </xdr:grpSpPr>
                                    <xdr:grpSp>
                                      <xdr:nvGrpSpPr>
                                        <xdr:cNvPr id="18145" name="BC$X$35#GR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49C63700-BFE0-4E0B-B1BE-D2E31BDB1A1F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381000" cy="381000"/>
                                          <a:chOff x="0" y="0"/>
                                          <a:chExt cx="381000" cy="381000"/>
                                        </a:xfrm>
                                      </xdr:grpSpPr>
                                      <xdr:grpSp>
                                        <xdr:nvGrpSpPr>
                                          <xdr:cNvPr id="18143" name="BC$X$35#GR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4552786B-3277-47CB-B3FD-A4420306AB42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381000" cy="381000"/>
                                            <a:chOff x="0" y="0"/>
                                            <a:chExt cx="381000" cy="3810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8141" name="BC$X$35#GR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926BF5E6-6DE4-41DD-9886-B5E115763BDE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381000" cy="381000"/>
                                              <a:chOff x="0" y="0"/>
                                              <a:chExt cx="381000" cy="3810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8139" name="BC$X$35#GR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2A8894A3-AF7C-4849-9527-8198CB7DF169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381000" cy="381000"/>
                                                <a:chOff x="0" y="0"/>
                                                <a:chExt cx="381000" cy="3810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8137" name="BC$X$35#GR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AD11C51F-8EF7-49E5-9C29-E999A2596F5B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381000" cy="381000"/>
                                                  <a:chOff x="0" y="0"/>
                                                  <a:chExt cx="381000" cy="3810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8135" name="BC$X$35#GR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2798FD3D-FC10-485F-9126-DA14D68237EC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381000" cy="381000"/>
                                                    <a:chOff x="0" y="0"/>
                                                    <a:chExt cx="381000" cy="3810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8133" name="BC$X$35#GR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0FC3885-5990-48AF-9720-8629C3630776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381000" cy="381000"/>
                                                      <a:chOff x="0" y="0"/>
                                                      <a:chExt cx="381000" cy="3810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8131" name="BC$X$35#GR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BAD88B97-5039-41D4-83E8-9719C5DDE21B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381000" cy="381000"/>
                                                        <a:chOff x="0" y="0"/>
                                                        <a:chExt cx="381000" cy="3810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8129" name="BC$X$35#GR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15DA27A4-5C83-4C9F-AEEE-9251AFA81D9E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381000" cy="381000"/>
                                                          <a:chOff x="0" y="0"/>
                                                          <a:chExt cx="381000" cy="3810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8127" name="BC$X$35#GR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C7F7AF8D-C237-474E-8C84-A83DDDD7ACAA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381000" cy="381000"/>
                                                            <a:chOff x="0" y="0"/>
                                                            <a:chExt cx="381000" cy="3810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8125" name="BC$X$35#GR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376C69F9-CCE3-4A21-B1C8-EF8226585661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381000" cy="381000"/>
                                                              <a:chOff x="0" y="0"/>
                                                              <a:chExt cx="381000" cy="3810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8123" name="BC$X$35#GR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2F6E710A-3F59-4175-96F2-1E87F2EED2C5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381000" cy="381000"/>
                                                                <a:chOff x="0" y="0"/>
                                                                <a:chExt cx="381000" cy="3810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121" name="BC$X$35#GR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5A87295C-3A97-4F09-9793-82D4ADADF92C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381000" cy="381000"/>
                                                                  <a:chOff x="0" y="0"/>
                                                                  <a:chExt cx="381000" cy="3810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8119" name="BC$X$35#GR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2E67435-AA08-4EF5-8118-199461751E47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381000" cy="381000"/>
                                                                    <a:chOff x="0" y="0"/>
                                                                    <a:chExt cx="381000" cy="3810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8117" name="BC$X$35#GR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89EB305-95D2-4601-AC3B-438C8CC93705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381000" cy="381000"/>
                                                                      <a:chOff x="0" y="0"/>
                                                                      <a:chExt cx="381000" cy="3810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8115" name="BC$X$35#GR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44252A59-F1E7-4162-A769-8231EC1CC03A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381000" cy="381000"/>
                                                                        <a:chOff x="0" y="0"/>
                                                                        <a:chExt cx="381000" cy="3810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8113" name="BC$X$35#GR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3E64E5DB-FE93-48CF-A9CD-AD1610720B19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381000" cy="381000"/>
                                                                          <a:chOff x="0" y="0"/>
                                                                          <a:chExt cx="381000" cy="3810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8111" name="BC$X$35#GR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8D439202-76C8-4DAE-954F-2CE184E6977F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381000" cy="381000"/>
                                                                            <a:chOff x="0" y="0"/>
                                                                            <a:chExt cx="381000" cy="3810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8109" name="BC$X$35#GR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F6CDE12B-0B90-4FF4-8421-8E1FCF10AF81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381000" cy="381000"/>
                                                                              <a:chOff x="0" y="0"/>
                                                                              <a:chExt cx="381000" cy="3810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8107" name="BC$X$35#GR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ABF8C5B4-8980-48E8-A003-1B99FA705507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381000" cy="381000"/>
                                                                                <a:chOff x="0" y="0"/>
                                                                                <a:chExt cx="381000" cy="3810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8105" name="BC$X$35#GR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FDF6C3D2-7413-49A1-A95B-90C8A932F6C8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381000" cy="381000"/>
                                                                                  <a:chOff x="0" y="0"/>
                                                                                  <a:chExt cx="381000" cy="3810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8103" name="BC$X$35#GR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5710C458-9836-4DFB-921D-BC637A7881C2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381000" cy="381000"/>
                                                                                    <a:chOff x="0" y="0"/>
                                                                                    <a:chExt cx="381000" cy="3810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8101" name="BC$X$35#GR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B78BC180-2CE7-4AC6-A718-DA028D3D5F2F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381000" cy="381000"/>
                                                                                      <a:chOff x="0" y="0"/>
                                                                                      <a:chExt cx="381000" cy="3810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8099" name="BC$X$35#BK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055581F7-1D38-42E7-BA21-0A93735C286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381000" cy="38100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FFFFFF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rgbClr val="FFFFFF"/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8100" name="BC$X$35#BR1">
                                                                                        <a:extLst>
                                                                                          <a:ext uri="{FF2B5EF4-FFF2-40B4-BE49-F238E27FC236}">
                                                                                            <a16:creationId xmlns:a16="http://schemas.microsoft.com/office/drawing/2014/main" id="{D7697103-A537-4E73-8758-0C3A87302635}"/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cNvPr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" y="317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ru-RU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8102" name="BC$X$35#BR2">
                                                                                      <a:extLst>
                                                                                        <a:ext uri="{FF2B5EF4-FFF2-40B4-BE49-F238E27FC236}">
                                                                                          <a16:creationId xmlns:a16="http://schemas.microsoft.com/office/drawing/2014/main" id="{EB8F30DB-FB70-4B2A-BE5B-C6BD1810151E}"/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cNvPr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95250" y="31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ru-RU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8104" name="BC$X$35#BR3">
                                                                                    <a:extLst>
                                                                                      <a:ext uri="{FF2B5EF4-FFF2-40B4-BE49-F238E27FC236}">
                                                                                        <a16:creationId xmlns:a16="http://schemas.microsoft.com/office/drawing/2014/main" id="{EC077412-B9B2-4D8A-B773-27642FAAADE6}"/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cNvPr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158750" y="317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ru-RU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8106" name="BC$X$35#BR4">
                                                                                  <a:extLst>
                                                                                    <a:ext uri="{FF2B5EF4-FFF2-40B4-BE49-F238E27FC236}">
                                                                                      <a16:creationId xmlns:a16="http://schemas.microsoft.com/office/drawing/2014/main" id="{40D6F1EC-5D6F-4539-A4B4-680FAD708196}"/>
                                                                                    </a:ext>
                                                                                  </a:extLst>
                                                                                </xdr:cNvPr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222250" y="31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ru-RU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8108" name="BC$X$35#BR5">
                                                                                <a:extLst>
                                                                                  <a:ext uri="{FF2B5EF4-FFF2-40B4-BE49-F238E27FC236}">
                                                                                    <a16:creationId xmlns:a16="http://schemas.microsoft.com/office/drawing/2014/main" id="{11F45282-4EDF-4ADF-9842-3111C5AA3A40}"/>
                                                                                  </a:ext>
                                                                                </a:extLst>
                                                                              </xdr:cNvPr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285750" y="3175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ru-RU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8110" name="BC$X$35#BR6">
                                                                              <a:extLst>
                                                                                <a:ext uri="{FF2B5EF4-FFF2-40B4-BE49-F238E27FC236}">
                                                                                  <a16:creationId xmlns:a16="http://schemas.microsoft.com/office/drawing/2014/main" id="{339E5C8A-E1DA-437A-B314-340FB322971E}"/>
                                                                                </a:ext>
                                                                              </a:extLst>
                                                                            </xdr:cNvPr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31750" y="635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ru-RU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8112" name="BC$X$35#BR7">
                                                                            <a:extLst>
                                                                              <a:ext uri="{FF2B5EF4-FFF2-40B4-BE49-F238E27FC236}">
                                                                                <a16:creationId xmlns:a16="http://schemas.microsoft.com/office/drawing/2014/main" id="{D09A075E-226B-440A-B37F-28C9200E9B32}"/>
                                                                              </a:ext>
                                                                            </a:extLst>
                                                                          </xdr:cNvPr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6350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ru-RU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8114" name="BC$X$35#BR8">
                                                                          <a:extLst>
                                                                            <a:ext uri="{FF2B5EF4-FFF2-40B4-BE49-F238E27FC236}">
                                                                              <a16:creationId xmlns:a16="http://schemas.microsoft.com/office/drawing/2014/main" id="{CB68DECF-C856-4A5C-A62F-DB8BF28824F1}"/>
                                                                            </a:ext>
                                                                          </a:extLst>
                                                                        </xdr:cNvPr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63500"/>
                                                                          <a:ext cx="6350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ru-RU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8116" name="BC$X$35#BR9">
                                                                        <a:extLst>
                                                                          <a:ext uri="{FF2B5EF4-FFF2-40B4-BE49-F238E27FC236}">
                                                                            <a16:creationId xmlns:a16="http://schemas.microsoft.com/office/drawing/2014/main" id="{A635EFA9-8B6B-4139-88F0-3EC021E0DB76}"/>
                                                                          </a:ext>
                                                                        </a:extLst>
                                                                      </xdr:cNvPr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54000" y="95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ru-RU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8118" name="BC$X$35#BR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80F78637-EACD-4F1E-B8C4-BD43B90F21AC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7500" y="63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ru-RU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8120" name="BC$X$35#BR11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24602DD7-B11F-4C94-B2A9-D7BC1C914E3E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" y="127000"/>
                                                                    <a:ext cx="31750" cy="6350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ru-RU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8122" name="BC$X$35#BR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24491127-0A16-4DA6-BBA4-1D7621BE768E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3500" y="158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ru-RU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8124" name="BC$X$35#BR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A44D4E53-96BC-4F0B-8D8D-6E389AB4FE1C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127000" y="127000"/>
                                                                <a:ext cx="63500" cy="635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ru-RU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8126" name="BC$X$35#BR1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C06DC074-0B93-49F0-A412-AE4401F1F3AA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90500" y="158750"/>
                                                              <a:ext cx="6350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ru-RU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8128" name="BC$X$35#BR15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704B09E8-AA71-4BEC-BD6A-8815AF8E9C3B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254000" y="127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ru-RU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8130" name="BC$X$35#BR16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4031C694-234E-48B9-8E15-24E35CEA50C7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85750" y="158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ru-RU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8132" name="BC$X$35#BR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31D05C11-EBBB-47A8-A046-17C66B66C965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17500" y="1270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ru-RU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8134" name="BC$X$35#BR1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AC1241BF-82A9-40CB-84A4-EE68004AFAB1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1750" y="190500"/>
                                                      <a:ext cx="31750" cy="6350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ru-RU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8136" name="BC$X$35#BR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D53AA891-3F76-4EA0-A8FA-C3C8EFED8572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3500" y="190500"/>
                                                    <a:ext cx="6350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ru-RU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8138" name="BC$X$35#BR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80BF22B2-0208-4009-9C4F-ABEAAC2EC9A3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95250" y="22225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ru-RU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8140" name="BC$X$35#BR2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BC73F46E-C1DA-4BCF-9C85-FEC0F979C7BE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58750" y="190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ru-RU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8142" name="BC$X$35#BR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3BE03D55-68D1-4BBA-B146-1B120A8FA53E}"/>
                                                </a:ext>
                                              </a:extLst>
                                            </xdr:cNvPr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7000" y="22225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ru-RU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8144" name="BC$X$35#BR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F7A4CA3D-31DB-4A30-817C-09EBF5B428BD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90500" y="190500"/>
                                            <a:ext cx="63500" cy="635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ru-RU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8146" name="BC$X$35#BR24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7FC456DB-1FF1-4959-92AD-D84353EE265B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>
                                          <a:off x="285750" y="222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ru-RU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8148" name="BC$X$35#BR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A701A699-AC49-46D8-ABC9-6F49F2422BD6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17500" y="19050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ru-RU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8150" name="BC$X$35#BR26">
                                      <a:extLst>
                                        <a:ext uri="{FF2B5EF4-FFF2-40B4-BE49-F238E27FC236}">
                                          <a16:creationId xmlns:a16="http://schemas.microsoft.com/office/drawing/2014/main" id="{6C58CACB-613C-4C2E-B491-E5A172E5AC6A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750" y="254000"/>
                                      <a:ext cx="31750" cy="6350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ru-RU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8152" name="BC$X$35#BR27">
                                    <a:extLst>
                                      <a:ext uri="{FF2B5EF4-FFF2-40B4-BE49-F238E27FC236}">
                                        <a16:creationId xmlns:a16="http://schemas.microsoft.com/office/drawing/2014/main" id="{0E75464D-5F77-4C1C-B1FE-C70B0C862AD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5250" y="2540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ru-RU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8154" name="BC$X$35#BR28">
                                  <a:extLst>
                                    <a:ext uri="{FF2B5EF4-FFF2-40B4-BE49-F238E27FC236}">
                                      <a16:creationId xmlns:a16="http://schemas.microsoft.com/office/drawing/2014/main" id="{7DF80CC7-41A4-400A-A803-DBBCD5342B4A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63500" y="2857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ru-RU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8156" name="BC$X$35#BR29">
                                <a:extLst>
                                  <a:ext uri="{FF2B5EF4-FFF2-40B4-BE49-F238E27FC236}">
                                    <a16:creationId xmlns:a16="http://schemas.microsoft.com/office/drawing/2014/main" id="{78177550-7196-4FB6-8CA7-E69D40A9D57C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7000" y="254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ru-RU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8158" name="BC$X$35#BR30">
                              <a:extLst>
                                <a:ext uri="{FF2B5EF4-FFF2-40B4-BE49-F238E27FC236}">
                                  <a16:creationId xmlns:a16="http://schemas.microsoft.com/office/drawing/2014/main" id="{8B380203-4DDE-4463-93DE-5559DC36592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0500" y="2540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ru-RU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8160" name="BC$X$35#BR31">
                            <a:extLst>
                              <a:ext uri="{FF2B5EF4-FFF2-40B4-BE49-F238E27FC236}">
                                <a16:creationId xmlns:a16="http://schemas.microsoft.com/office/drawing/2014/main" id="{5BC583B8-B700-492E-A6FB-F71239490ECE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22250" y="285750"/>
                            <a:ext cx="3175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ru-RU" sz="1100"/>
                          </a:p>
                        </xdr:txBody>
                      </xdr:sp>
                    </xdr:grpSp>
                    <xdr:sp macro="" textlink="">
                      <xdr:nvSpPr>
                        <xdr:cNvPr id="18162" name="BC$X$35#BR32">
                          <a:extLst>
                            <a:ext uri="{FF2B5EF4-FFF2-40B4-BE49-F238E27FC236}">
                              <a16:creationId xmlns:a16="http://schemas.microsoft.com/office/drawing/2014/main" id="{032C88DD-63B4-4346-8AA8-69B1A490DAC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4000" y="254000"/>
                          <a:ext cx="63500" cy="6350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ru-RU" sz="1100"/>
                        </a:p>
                      </xdr:txBody>
                    </xdr:sp>
                  </xdr:grpSp>
                  <xdr:sp macro="" textlink="">
                    <xdr:nvSpPr>
                      <xdr:cNvPr id="18164" name="BC$X$35#BR33">
                        <a:extLst>
                          <a:ext uri="{FF2B5EF4-FFF2-40B4-BE49-F238E27FC236}">
                            <a16:creationId xmlns:a16="http://schemas.microsoft.com/office/drawing/2014/main" id="{345C8920-BE7B-4F76-916C-A5D5F2ED058B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7500" y="254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ru-RU" sz="1100"/>
                      </a:p>
                    </xdr:txBody>
                  </xdr:sp>
                </xdr:grpSp>
                <xdr:sp macro="" textlink="">
                  <xdr:nvSpPr>
                    <xdr:cNvPr id="18166" name="BC$X$35#BR34">
                      <a:extLst>
                        <a:ext uri="{FF2B5EF4-FFF2-40B4-BE49-F238E27FC236}">
                          <a16:creationId xmlns:a16="http://schemas.microsoft.com/office/drawing/2014/main" id="{A9ABD84B-5D9A-4DC2-9F84-3B38E8B5DBA9}"/>
                        </a:ext>
                      </a:extLst>
                    </xdr:cNvPr>
                    <xdr:cNvSpPr/>
                  </xdr:nvSpPr>
                  <xdr:spPr>
                    <a:xfrm>
                      <a:off x="31750" y="3175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ru-RU" sz="1100"/>
                    </a:p>
                  </xdr:txBody>
                </xdr:sp>
              </xdr:grpSp>
              <xdr:sp macro="" textlink="">
                <xdr:nvSpPr>
                  <xdr:cNvPr id="18168" name="BC$X$35#BR35">
                    <a:extLst>
                      <a:ext uri="{FF2B5EF4-FFF2-40B4-BE49-F238E27FC236}">
                        <a16:creationId xmlns:a16="http://schemas.microsoft.com/office/drawing/2014/main" id="{1836E2D7-93D8-4058-AFAE-FD3A325B7F08}"/>
                      </a:ext>
                    </a:extLst>
                  </xdr:cNvPr>
                  <xdr:cNvSpPr/>
                </xdr:nvSpPr>
                <xdr:spPr>
                  <a:xfrm>
                    <a:off x="63500" y="3175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sp macro="" textlink="">
              <xdr:nvSpPr>
                <xdr:cNvPr id="18170" name="BC$X$35#BR36">
                  <a:extLst>
                    <a:ext uri="{FF2B5EF4-FFF2-40B4-BE49-F238E27FC236}">
                      <a16:creationId xmlns:a16="http://schemas.microsoft.com/office/drawing/2014/main" id="{8D8560BE-7333-4B7C-9B66-26DF3C45466D}"/>
                    </a:ext>
                  </a:extLst>
                </xdr:cNvPr>
                <xdr:cNvSpPr/>
              </xdr:nvSpPr>
              <xdr:spPr>
                <a:xfrm>
                  <a:off x="127000" y="3175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  <xdr:sp macro="" textlink="">
            <xdr:nvSpPr>
              <xdr:cNvPr id="18172" name="BC$X$35#BR37">
                <a:extLst>
                  <a:ext uri="{FF2B5EF4-FFF2-40B4-BE49-F238E27FC236}">
                    <a16:creationId xmlns:a16="http://schemas.microsoft.com/office/drawing/2014/main" id="{5D2A1F38-6B1F-4DF0-80AF-7EB64F291C39}"/>
                  </a:ext>
                </a:extLst>
              </xdr:cNvPr>
              <xdr:cNvSpPr/>
            </xdr:nvSpPr>
            <xdr:spPr>
              <a:xfrm>
                <a:off x="190500" y="3175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8174" name="BC$X$35#BR38">
              <a:extLst>
                <a:ext uri="{FF2B5EF4-FFF2-40B4-BE49-F238E27FC236}">
                  <a16:creationId xmlns:a16="http://schemas.microsoft.com/office/drawing/2014/main" id="{3E89FAB8-7461-4F8F-9984-9B480D14B027}"/>
                </a:ext>
              </a:extLst>
            </xdr:cNvPr>
            <xdr:cNvSpPr/>
          </xdr:nvSpPr>
          <xdr:spPr>
            <a:xfrm>
              <a:off x="254000" y="317500"/>
              <a:ext cx="6350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8176" name="BC$X$35#BR39">
            <a:extLst>
              <a:ext uri="{FF2B5EF4-FFF2-40B4-BE49-F238E27FC236}">
                <a16:creationId xmlns:a16="http://schemas.microsoft.com/office/drawing/2014/main" id="{A0FC88BD-C6DB-4556-9E8C-D94AFFE6446A}"/>
              </a:ext>
            </a:extLst>
          </xdr:cNvPr>
          <xdr:cNvSpPr/>
        </xdr:nvSpPr>
        <xdr:spPr>
          <a:xfrm>
            <a:off x="317500" y="3175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550"/>
  <sheetViews>
    <sheetView tabSelected="1" view="pageBreakPreview" zoomScaleNormal="100" zoomScaleSheetLayoutView="100" zoomScalePageLayoutView="85" workbookViewId="0">
      <selection activeCell="O1" sqref="O1:Q1"/>
    </sheetView>
  </sheetViews>
  <sheetFormatPr defaultColWidth="9.140625" defaultRowHeight="15" x14ac:dyDescent="0.25"/>
  <cols>
    <col min="1" max="13" width="3.28515625" customWidth="1"/>
    <col min="14" max="14" width="4" customWidth="1"/>
    <col min="15" max="27" width="3.28515625" customWidth="1"/>
    <col min="28" max="28" width="4" customWidth="1"/>
  </cols>
  <sheetData>
    <row r="1" spans="1:28" s="1" customFormat="1" ht="15" customHeight="1" x14ac:dyDescent="0.45">
      <c r="A1" s="15">
        <f ca="1">TODAY()</f>
        <v>42945</v>
      </c>
      <c r="B1" s="16"/>
      <c r="C1" s="16"/>
      <c r="D1" s="6"/>
      <c r="E1" s="6"/>
      <c r="F1" s="6"/>
      <c r="G1" s="6"/>
      <c r="H1" s="7"/>
      <c r="I1" s="17" t="s">
        <v>0</v>
      </c>
      <c r="J1" s="17"/>
      <c r="K1" s="11"/>
      <c r="L1" s="11"/>
      <c r="M1" s="11"/>
      <c r="N1" s="6"/>
      <c r="O1" s="15">
        <f ca="1">TODAY()</f>
        <v>42945</v>
      </c>
      <c r="P1" s="16"/>
      <c r="Q1" s="16"/>
      <c r="R1" s="6"/>
      <c r="S1" s="6"/>
      <c r="T1" s="6"/>
      <c r="U1" s="6"/>
      <c r="V1" s="7"/>
      <c r="W1" s="17" t="s">
        <v>0</v>
      </c>
      <c r="X1" s="17"/>
      <c r="Y1" s="11"/>
      <c r="Z1" s="11"/>
      <c r="AA1" s="11"/>
      <c r="AB1" s="6"/>
    </row>
    <row r="2" spans="1:28" s="3" customFormat="1" ht="14.25" customHeight="1" x14ac:dyDescent="0.25">
      <c r="A2" s="2"/>
      <c r="K2" s="3" t="str">
        <f>EncodeBarcode(1,K1,K1,50,1,0,2)</f>
        <v/>
      </c>
      <c r="O2" s="2"/>
      <c r="Y2" s="3" t="str">
        <f>EncodeBarcode(1,Y1,Y1,50,1,0,2)</f>
        <v/>
      </c>
    </row>
    <row r="3" spans="1:28" s="3" customFormat="1" ht="14.25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4"/>
      <c r="O3" s="12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4"/>
    </row>
    <row r="4" spans="1:28" s="3" customFormat="1" ht="14.25" customHeight="1" x14ac:dyDescent="0.25">
      <c r="A4" s="12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4"/>
      <c r="O4" s="12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4"/>
    </row>
    <row r="5" spans="1:28" s="3" customFormat="1" ht="14.25" customHeight="1" x14ac:dyDescent="0.25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4"/>
      <c r="O5" s="12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4"/>
    </row>
    <row r="6" spans="1:28" s="3" customFormat="1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4"/>
      <c r="O6" s="12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4"/>
    </row>
    <row r="7" spans="1:28" s="3" customFormat="1" ht="14.25" customHeight="1" x14ac:dyDescent="0.25">
      <c r="A7" s="12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4"/>
      <c r="O7" s="12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4"/>
    </row>
    <row r="8" spans="1:28" s="3" customFormat="1" ht="14.25" customHeight="1" x14ac:dyDescent="0.25">
      <c r="A8" s="2"/>
      <c r="N8" s="8"/>
      <c r="AB8" s="8"/>
    </row>
    <row r="9" spans="1:28" s="3" customFormat="1" ht="14.25" customHeight="1" x14ac:dyDescent="0.25">
      <c r="A9" s="18" t="s">
        <v>2</v>
      </c>
      <c r="B9" s="18"/>
      <c r="C9" s="19"/>
      <c r="D9" s="19"/>
      <c r="E9" s="19"/>
      <c r="F9" s="19"/>
      <c r="G9" s="19"/>
      <c r="H9" s="19"/>
      <c r="I9" s="20" t="s">
        <v>1</v>
      </c>
      <c r="J9" s="20"/>
      <c r="K9" s="20"/>
      <c r="L9" s="20"/>
      <c r="N9" s="8"/>
      <c r="O9" s="18" t="s">
        <v>2</v>
      </c>
      <c r="P9" s="18"/>
      <c r="Q9" s="19"/>
      <c r="R9" s="19"/>
      <c r="S9" s="19"/>
      <c r="T9" s="19"/>
      <c r="U9" s="19"/>
      <c r="V9" s="19"/>
      <c r="W9" s="20" t="s">
        <v>1</v>
      </c>
      <c r="X9" s="20"/>
      <c r="Y9" s="20"/>
      <c r="Z9" s="20"/>
      <c r="AB9" s="8"/>
    </row>
    <row r="10" spans="1:28" s="3" customFormat="1" ht="14.25" customHeight="1" x14ac:dyDescent="0.25">
      <c r="A10" s="21" t="s">
        <v>3</v>
      </c>
      <c r="B10" s="21"/>
      <c r="C10" s="19"/>
      <c r="D10" s="19"/>
      <c r="E10" s="19"/>
      <c r="F10" s="19"/>
      <c r="G10" s="19"/>
      <c r="H10" s="19"/>
      <c r="I10" s="20"/>
      <c r="J10" s="20"/>
      <c r="K10" s="20"/>
      <c r="L10" s="20"/>
      <c r="N10" s="8"/>
      <c r="O10" s="21" t="s">
        <v>3</v>
      </c>
      <c r="P10" s="21"/>
      <c r="Q10" s="19"/>
      <c r="R10" s="19"/>
      <c r="S10" s="19"/>
      <c r="T10" s="19"/>
      <c r="U10" s="19"/>
      <c r="V10" s="19"/>
      <c r="W10" s="20"/>
      <c r="X10" s="20"/>
      <c r="Y10" s="20"/>
      <c r="Z10" s="20"/>
      <c r="AB10" s="8"/>
    </row>
    <row r="11" spans="1:28" s="5" customFormat="1" ht="14.25" customHeight="1" x14ac:dyDescent="0.25">
      <c r="A11" s="4"/>
      <c r="O11" s="4"/>
    </row>
    <row r="12" spans="1:28" ht="15" customHeight="1" x14ac:dyDescent="0.45">
      <c r="A12" s="15">
        <f ca="1">TODAY()</f>
        <v>42945</v>
      </c>
      <c r="B12" s="16"/>
      <c r="C12" s="16"/>
      <c r="D12" s="6"/>
      <c r="E12" s="6"/>
      <c r="F12" s="6"/>
      <c r="G12" s="6"/>
      <c r="H12" s="7"/>
      <c r="I12" s="17" t="s">
        <v>0</v>
      </c>
      <c r="J12" s="17"/>
      <c r="K12" s="11"/>
      <c r="L12" s="11"/>
      <c r="M12" s="11"/>
      <c r="N12" s="6"/>
      <c r="O12" s="15">
        <f ca="1">TODAY()</f>
        <v>42945</v>
      </c>
      <c r="P12" s="16"/>
      <c r="Q12" s="16"/>
      <c r="R12" s="6"/>
      <c r="S12" s="6"/>
      <c r="T12" s="6"/>
      <c r="U12" s="6"/>
      <c r="V12" s="7"/>
      <c r="W12" s="17" t="s">
        <v>0</v>
      </c>
      <c r="X12" s="17"/>
      <c r="Y12" s="11"/>
      <c r="Z12" s="11"/>
      <c r="AA12" s="11"/>
      <c r="AB12" s="6"/>
    </row>
    <row r="13" spans="1:28" x14ac:dyDescent="0.25">
      <c r="A13" s="2"/>
      <c r="B13" s="3"/>
      <c r="C13" s="3"/>
      <c r="D13" s="3"/>
      <c r="E13" s="3"/>
      <c r="F13" s="3"/>
      <c r="G13" s="3"/>
      <c r="H13" s="3"/>
      <c r="I13" s="3"/>
      <c r="J13" s="3"/>
      <c r="K13" s="3" t="str">
        <f>EncodeBarcode(1,K12,K12,50,1,0,2)</f>
        <v/>
      </c>
      <c r="L13" s="3"/>
      <c r="M13" s="3"/>
      <c r="N13" s="3"/>
      <c r="O13" s="2"/>
      <c r="P13" s="3"/>
      <c r="Q13" s="3"/>
      <c r="R13" s="3"/>
      <c r="S13" s="3"/>
      <c r="T13" s="3"/>
      <c r="U13" s="3"/>
      <c r="V13" s="3"/>
      <c r="W13" s="3"/>
      <c r="X13" s="3"/>
      <c r="Y13" s="3" t="str">
        <f>EncodeBarcode(1,Y12,Y12,50,1,0,2)</f>
        <v/>
      </c>
      <c r="Z13" s="3"/>
      <c r="AA13" s="3"/>
      <c r="AB13" s="3"/>
    </row>
    <row r="14" spans="1:28" ht="15" customHeight="1" x14ac:dyDescent="0.25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4"/>
      <c r="O14" s="12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4"/>
    </row>
    <row r="15" spans="1:28" ht="15" customHeight="1" x14ac:dyDescent="0.25">
      <c r="A15" s="12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4"/>
      <c r="O15" s="12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4"/>
    </row>
    <row r="16" spans="1:28" ht="15" customHeight="1" x14ac:dyDescent="0.25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4"/>
      <c r="O16" s="12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4"/>
    </row>
    <row r="17" spans="1:28" ht="15" customHeight="1" x14ac:dyDescent="0.25">
      <c r="A17" s="12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4"/>
      <c r="O17" s="12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4"/>
    </row>
    <row r="18" spans="1:28" ht="15" customHeight="1" x14ac:dyDescent="0.25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4"/>
      <c r="O18" s="12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4"/>
    </row>
    <row r="19" spans="1:28" x14ac:dyDescent="0.25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8"/>
    </row>
    <row r="20" spans="1:28" ht="15" customHeight="1" x14ac:dyDescent="0.25">
      <c r="A20" s="18" t="s">
        <v>2</v>
      </c>
      <c r="B20" s="18"/>
      <c r="C20" s="19"/>
      <c r="D20" s="19"/>
      <c r="E20" s="19"/>
      <c r="F20" s="19"/>
      <c r="G20" s="19"/>
      <c r="H20" s="19"/>
      <c r="I20" s="20" t="s">
        <v>1</v>
      </c>
      <c r="J20" s="20"/>
      <c r="K20" s="20"/>
      <c r="L20" s="20"/>
      <c r="M20" s="3"/>
      <c r="N20" s="8"/>
      <c r="O20" s="18" t="s">
        <v>2</v>
      </c>
      <c r="P20" s="18"/>
      <c r="Q20" s="19"/>
      <c r="R20" s="19"/>
      <c r="S20" s="19"/>
      <c r="T20" s="19"/>
      <c r="U20" s="19"/>
      <c r="V20" s="19"/>
      <c r="W20" s="20" t="s">
        <v>1</v>
      </c>
      <c r="X20" s="20"/>
      <c r="Y20" s="20"/>
      <c r="Z20" s="20"/>
      <c r="AA20" s="3"/>
      <c r="AB20" s="8"/>
    </row>
    <row r="21" spans="1:28" ht="15" customHeight="1" x14ac:dyDescent="0.25">
      <c r="A21" s="21" t="s">
        <v>3</v>
      </c>
      <c r="B21" s="21"/>
      <c r="C21" s="19"/>
      <c r="D21" s="19"/>
      <c r="E21" s="19"/>
      <c r="F21" s="19"/>
      <c r="G21" s="19"/>
      <c r="H21" s="19"/>
      <c r="I21" s="20"/>
      <c r="J21" s="20"/>
      <c r="K21" s="20"/>
      <c r="L21" s="20"/>
      <c r="M21" s="3"/>
      <c r="N21" s="8"/>
      <c r="O21" s="21" t="s">
        <v>3</v>
      </c>
      <c r="P21" s="21"/>
      <c r="Q21" s="19"/>
      <c r="R21" s="19"/>
      <c r="S21" s="19"/>
      <c r="T21" s="19"/>
      <c r="U21" s="19"/>
      <c r="V21" s="19"/>
      <c r="W21" s="20"/>
      <c r="X21" s="20"/>
      <c r="Y21" s="20"/>
      <c r="Z21" s="20"/>
      <c r="AA21" s="3"/>
      <c r="AB21" s="8"/>
    </row>
    <row r="22" spans="1:28" x14ac:dyDescent="0.25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9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9"/>
    </row>
    <row r="23" spans="1:28" ht="15" customHeight="1" x14ac:dyDescent="0.45">
      <c r="A23" s="15">
        <f ca="1">TODAY()</f>
        <v>42945</v>
      </c>
      <c r="B23" s="16"/>
      <c r="C23" s="16"/>
      <c r="D23" s="6"/>
      <c r="E23" s="6"/>
      <c r="F23" s="6"/>
      <c r="G23" s="6"/>
      <c r="H23" s="7"/>
      <c r="I23" s="17" t="s">
        <v>0</v>
      </c>
      <c r="J23" s="17"/>
      <c r="K23" s="11">
        <v>12</v>
      </c>
      <c r="L23" s="11"/>
      <c r="M23" s="11"/>
      <c r="N23" s="6"/>
      <c r="O23" s="15">
        <f ca="1">TODAY()</f>
        <v>42945</v>
      </c>
      <c r="P23" s="16"/>
      <c r="Q23" s="16"/>
      <c r="R23" s="6"/>
      <c r="S23" s="6"/>
      <c r="T23" s="6"/>
      <c r="U23" s="6"/>
      <c r="V23" s="7"/>
      <c r="W23" s="17" t="s">
        <v>0</v>
      </c>
      <c r="X23" s="17"/>
      <c r="Y23" s="11"/>
      <c r="Z23" s="11"/>
      <c r="AA23" s="11"/>
      <c r="AB23" s="6"/>
    </row>
    <row r="24" spans="1:28" x14ac:dyDescent="0.25">
      <c r="A24" s="2"/>
      <c r="B24" s="3"/>
      <c r="C24" s="3"/>
      <c r="D24" s="3"/>
      <c r="E24" s="3"/>
      <c r="F24" s="3"/>
      <c r="G24" s="3"/>
      <c r="H24" s="3"/>
      <c r="I24" s="3"/>
      <c r="J24" s="3"/>
      <c r="K24" s="3" t="str">
        <f>EncodeBarcode(1,K23,K23,50,1,0,2)</f>
        <v/>
      </c>
      <c r="L24" s="3"/>
      <c r="M24" s="3"/>
      <c r="N24" s="3"/>
      <c r="O24" s="2"/>
      <c r="P24" s="3"/>
      <c r="Q24" s="3"/>
      <c r="R24" s="3"/>
      <c r="S24" s="3"/>
      <c r="T24" s="3"/>
      <c r="U24" s="3"/>
      <c r="V24" s="3"/>
      <c r="W24" s="3"/>
      <c r="X24" s="3"/>
      <c r="Y24" s="3" t="str">
        <f>EncodeBarcode(1,Y23,Y23,50,1,0,2)</f>
        <v/>
      </c>
      <c r="Z24" s="3"/>
      <c r="AA24" s="3"/>
      <c r="AB24" s="3"/>
    </row>
    <row r="25" spans="1:28" ht="15" customHeight="1" x14ac:dyDescent="0.25">
      <c r="A25" s="12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4"/>
      <c r="O25" s="12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4"/>
    </row>
    <row r="26" spans="1:28" ht="15" customHeight="1" x14ac:dyDescent="0.25">
      <c r="A26" s="12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4"/>
      <c r="O26" s="12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4"/>
    </row>
    <row r="27" spans="1:28" ht="15" customHeight="1" x14ac:dyDescent="0.25">
      <c r="A27" s="12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4"/>
      <c r="O27" s="12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4"/>
    </row>
    <row r="28" spans="1:28" ht="15" customHeight="1" x14ac:dyDescent="0.25">
      <c r="A28" s="12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4"/>
      <c r="O28" s="12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4"/>
    </row>
    <row r="29" spans="1:28" ht="15" customHeight="1" x14ac:dyDescent="0.25">
      <c r="A29" s="12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4"/>
      <c r="O29" s="12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4"/>
    </row>
    <row r="30" spans="1:28" x14ac:dyDescent="0.25">
      <c r="A30" s="2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8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8"/>
    </row>
    <row r="31" spans="1:28" ht="15" customHeight="1" x14ac:dyDescent="0.25">
      <c r="A31" s="18" t="s">
        <v>2</v>
      </c>
      <c r="B31" s="18"/>
      <c r="C31" s="19"/>
      <c r="D31" s="19"/>
      <c r="E31" s="19"/>
      <c r="F31" s="19"/>
      <c r="G31" s="19"/>
      <c r="H31" s="19"/>
      <c r="I31" s="20" t="s">
        <v>1</v>
      </c>
      <c r="J31" s="20"/>
      <c r="K31" s="20"/>
      <c r="L31" s="20"/>
      <c r="M31" s="3"/>
      <c r="N31" s="8"/>
      <c r="O31" s="18" t="s">
        <v>2</v>
      </c>
      <c r="P31" s="18"/>
      <c r="Q31" s="19"/>
      <c r="R31" s="19"/>
      <c r="S31" s="19"/>
      <c r="T31" s="19"/>
      <c r="U31" s="19"/>
      <c r="V31" s="19"/>
      <c r="W31" s="20" t="s">
        <v>1</v>
      </c>
      <c r="X31" s="20"/>
      <c r="Y31" s="20"/>
      <c r="Z31" s="20"/>
      <c r="AA31" s="3"/>
      <c r="AB31" s="8"/>
    </row>
    <row r="32" spans="1:28" ht="15" customHeight="1" x14ac:dyDescent="0.25">
      <c r="A32" s="21" t="s">
        <v>3</v>
      </c>
      <c r="B32" s="21"/>
      <c r="C32" s="19"/>
      <c r="D32" s="19"/>
      <c r="E32" s="19"/>
      <c r="F32" s="19"/>
      <c r="G32" s="19"/>
      <c r="H32" s="19"/>
      <c r="I32" s="20"/>
      <c r="J32" s="20"/>
      <c r="K32" s="20"/>
      <c r="L32" s="20"/>
      <c r="M32" s="3"/>
      <c r="N32" s="8"/>
      <c r="O32" s="21" t="s">
        <v>3</v>
      </c>
      <c r="P32" s="21"/>
      <c r="Q32" s="19"/>
      <c r="R32" s="19"/>
      <c r="S32" s="19"/>
      <c r="T32" s="19"/>
      <c r="U32" s="19"/>
      <c r="V32" s="19"/>
      <c r="W32" s="20"/>
      <c r="X32" s="20"/>
      <c r="Y32" s="20"/>
      <c r="Z32" s="20"/>
      <c r="AA32" s="3"/>
      <c r="AB32" s="8"/>
    </row>
    <row r="33" spans="1:28" x14ac:dyDescent="0.25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9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9"/>
    </row>
    <row r="34" spans="1:28" ht="15" customHeight="1" x14ac:dyDescent="0.45">
      <c r="A34" s="15">
        <f ca="1">TODAY()</f>
        <v>42945</v>
      </c>
      <c r="B34" s="16"/>
      <c r="C34" s="16"/>
      <c r="D34" s="6"/>
      <c r="E34" s="6"/>
      <c r="F34" s="6"/>
      <c r="G34" s="6"/>
      <c r="H34" s="7"/>
      <c r="I34" s="17" t="s">
        <v>0</v>
      </c>
      <c r="J34" s="17"/>
      <c r="K34" s="11"/>
      <c r="L34" s="11"/>
      <c r="M34" s="11"/>
      <c r="N34" s="6"/>
      <c r="O34" s="15">
        <f ca="1">TODAY()</f>
        <v>42945</v>
      </c>
      <c r="P34" s="16"/>
      <c r="Q34" s="16"/>
      <c r="R34" s="6"/>
      <c r="S34" s="6"/>
      <c r="T34" s="6"/>
      <c r="U34" s="6"/>
      <c r="V34" s="7"/>
      <c r="W34" s="17" t="s">
        <v>0</v>
      </c>
      <c r="X34" s="17"/>
      <c r="Y34" s="11"/>
      <c r="Z34" s="11"/>
      <c r="AA34" s="11"/>
      <c r="AB34" s="6"/>
    </row>
    <row r="35" spans="1:28" x14ac:dyDescent="0.25">
      <c r="A35" s="2"/>
      <c r="B35" s="3"/>
      <c r="C35" s="3"/>
      <c r="D35" s="3"/>
      <c r="E35" s="3"/>
      <c r="F35" s="3"/>
      <c r="G35" s="3"/>
      <c r="H35" s="3"/>
      <c r="I35" s="3"/>
      <c r="J35" s="3" t="str">
        <f>EncodeBarcode(1,K34,K34,50,1,0,2)</f>
        <v/>
      </c>
      <c r="K35" s="10" t="str">
        <f>EncodeBarcode(1,K34,K34,50,1,0,2)</f>
        <v/>
      </c>
      <c r="L35" s="3"/>
      <c r="M35" s="3"/>
      <c r="N35" s="3"/>
      <c r="O35" s="2"/>
      <c r="P35" s="3"/>
      <c r="Q35" s="3"/>
      <c r="R35" s="3"/>
      <c r="S35" s="3"/>
      <c r="T35" s="3"/>
      <c r="U35" s="3"/>
      <c r="V35" s="3"/>
      <c r="W35" s="3"/>
      <c r="X35" s="3" t="str">
        <f>EncodeBarcode(1,Y34,Y34,50,1,0,2)</f>
        <v/>
      </c>
      <c r="Y35" s="10"/>
      <c r="Z35" s="3"/>
      <c r="AA35" s="3"/>
      <c r="AB35" s="3"/>
    </row>
    <row r="36" spans="1:28" ht="15" customHeight="1" x14ac:dyDescent="0.25">
      <c r="A36" s="12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4"/>
      <c r="O36" s="12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4"/>
    </row>
    <row r="37" spans="1:28" ht="15" customHeight="1" x14ac:dyDescent="0.25">
      <c r="A37" s="12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4"/>
      <c r="O37" s="12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4"/>
    </row>
    <row r="38" spans="1:28" ht="15" customHeight="1" x14ac:dyDescent="0.25">
      <c r="A38" s="12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4"/>
      <c r="O38" s="12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4"/>
    </row>
    <row r="39" spans="1:28" ht="15" customHeight="1" x14ac:dyDescent="0.25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4"/>
      <c r="O39" s="12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4"/>
    </row>
    <row r="40" spans="1:28" ht="15" customHeight="1" x14ac:dyDescent="0.25">
      <c r="A40" s="12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4"/>
      <c r="O40" s="12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4"/>
    </row>
    <row r="41" spans="1:28" x14ac:dyDescent="0.25">
      <c r="A41" s="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8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8"/>
    </row>
    <row r="42" spans="1:28" ht="15" customHeight="1" x14ac:dyDescent="0.25">
      <c r="A42" s="18" t="s">
        <v>2</v>
      </c>
      <c r="B42" s="18"/>
      <c r="C42" s="19"/>
      <c r="D42" s="19"/>
      <c r="E42" s="19"/>
      <c r="F42" s="19"/>
      <c r="G42" s="19"/>
      <c r="H42" s="19"/>
      <c r="I42" s="20" t="s">
        <v>1</v>
      </c>
      <c r="J42" s="20"/>
      <c r="K42" s="20"/>
      <c r="L42" s="20"/>
      <c r="M42" s="3"/>
      <c r="N42" s="8"/>
      <c r="O42" s="18" t="s">
        <v>2</v>
      </c>
      <c r="P42" s="18"/>
      <c r="Q42" s="19"/>
      <c r="R42" s="19"/>
      <c r="S42" s="19"/>
      <c r="T42" s="19"/>
      <c r="U42" s="19"/>
      <c r="V42" s="19"/>
      <c r="W42" s="20" t="s">
        <v>1</v>
      </c>
      <c r="X42" s="20"/>
      <c r="Y42" s="20"/>
      <c r="Z42" s="20"/>
      <c r="AA42" s="3"/>
      <c r="AB42" s="8"/>
    </row>
    <row r="43" spans="1:28" ht="15" customHeight="1" x14ac:dyDescent="0.25">
      <c r="A43" s="21" t="s">
        <v>3</v>
      </c>
      <c r="B43" s="21"/>
      <c r="C43" s="19"/>
      <c r="D43" s="19"/>
      <c r="E43" s="19"/>
      <c r="F43" s="19"/>
      <c r="G43" s="19"/>
      <c r="H43" s="19"/>
      <c r="I43" s="20"/>
      <c r="J43" s="20"/>
      <c r="K43" s="20"/>
      <c r="L43" s="20"/>
      <c r="M43" s="3"/>
      <c r="N43" s="8"/>
      <c r="O43" s="21" t="s">
        <v>3</v>
      </c>
      <c r="P43" s="21"/>
      <c r="Q43" s="19"/>
      <c r="R43" s="19"/>
      <c r="S43" s="19"/>
      <c r="T43" s="19"/>
      <c r="U43" s="19"/>
      <c r="V43" s="19"/>
      <c r="W43" s="20"/>
      <c r="X43" s="20"/>
      <c r="Y43" s="20"/>
      <c r="Z43" s="20"/>
      <c r="AA43" s="3"/>
      <c r="AB43" s="8"/>
    </row>
    <row r="44" spans="1:28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9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9"/>
    </row>
    <row r="45" spans="1:28" ht="15" customHeight="1" x14ac:dyDescent="0.45">
      <c r="A45" s="15">
        <f ca="1">TODAY()</f>
        <v>42945</v>
      </c>
      <c r="B45" s="16"/>
      <c r="C45" s="16"/>
      <c r="D45" s="6"/>
      <c r="E45" s="6"/>
      <c r="F45" s="6"/>
      <c r="G45" s="6"/>
      <c r="H45" s="7"/>
      <c r="I45" s="17" t="s">
        <v>0</v>
      </c>
      <c r="J45" s="17"/>
      <c r="K45" s="11"/>
      <c r="L45" s="11"/>
      <c r="M45" s="11"/>
      <c r="N45" s="6"/>
      <c r="O45" s="15">
        <f ca="1">TODAY()</f>
        <v>42945</v>
      </c>
      <c r="P45" s="16"/>
      <c r="Q45" s="16"/>
      <c r="R45" s="6"/>
      <c r="S45" s="6"/>
      <c r="T45" s="6"/>
      <c r="U45" s="6"/>
      <c r="V45" s="7"/>
      <c r="W45" s="17" t="s">
        <v>0</v>
      </c>
      <c r="X45" s="17"/>
      <c r="Y45" s="11"/>
      <c r="Z45" s="11"/>
      <c r="AA45" s="11"/>
      <c r="AB45" s="6"/>
    </row>
    <row r="46" spans="1:28" x14ac:dyDescent="0.25">
      <c r="A46" s="2"/>
      <c r="B46" s="3"/>
      <c r="C46" s="3"/>
      <c r="D46" s="3"/>
      <c r="E46" s="3"/>
      <c r="F46" s="3"/>
      <c r="G46" s="3"/>
      <c r="H46" s="3"/>
      <c r="I46" s="3"/>
      <c r="J46" s="3"/>
      <c r="K46" s="3" t="str">
        <f>EncodeBarcode(1,K45,K45,50,1,0,2)</f>
        <v/>
      </c>
      <c r="L46" s="3"/>
      <c r="M46" s="3"/>
      <c r="N46" s="3"/>
      <c r="O46" s="2"/>
      <c r="P46" s="3"/>
      <c r="Q46" s="3"/>
      <c r="R46" s="3"/>
      <c r="S46" s="3"/>
      <c r="T46" s="3"/>
      <c r="U46" s="3"/>
      <c r="V46" s="3"/>
      <c r="W46" s="3"/>
      <c r="X46" s="3"/>
      <c r="Y46" s="3" t="str">
        <f>EncodeBarcode(1,Y45,Y45,50,1,0,2)</f>
        <v/>
      </c>
      <c r="Z46" s="3"/>
      <c r="AA46" s="3"/>
      <c r="AB46" s="3"/>
    </row>
    <row r="47" spans="1:28" ht="15" customHeight="1" x14ac:dyDescent="0.25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4"/>
      <c r="O47" s="12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4"/>
    </row>
    <row r="48" spans="1:28" ht="15" customHeight="1" x14ac:dyDescent="0.25">
      <c r="A48" s="12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12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4"/>
    </row>
    <row r="49" spans="1:28" ht="15" customHeight="1" x14ac:dyDescent="0.25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4"/>
      <c r="O49" s="12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4"/>
    </row>
    <row r="50" spans="1:28" ht="15" customHeight="1" x14ac:dyDescent="0.25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12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4"/>
    </row>
    <row r="51" spans="1:28" ht="15" customHeight="1" x14ac:dyDescent="0.25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4"/>
      <c r="O51" s="12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4"/>
    </row>
    <row r="52" spans="1:28" x14ac:dyDescent="0.25">
      <c r="A52" s="2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8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8"/>
    </row>
    <row r="53" spans="1:28" ht="15" customHeight="1" x14ac:dyDescent="0.25">
      <c r="A53" s="18" t="s">
        <v>2</v>
      </c>
      <c r="B53" s="18"/>
      <c r="C53" s="19"/>
      <c r="D53" s="19"/>
      <c r="E53" s="19"/>
      <c r="F53" s="19"/>
      <c r="G53" s="19"/>
      <c r="H53" s="19"/>
      <c r="I53" s="20" t="s">
        <v>1</v>
      </c>
      <c r="J53" s="20"/>
      <c r="K53" s="20"/>
      <c r="L53" s="20"/>
      <c r="M53" s="3"/>
      <c r="N53" s="8"/>
      <c r="O53" s="18" t="s">
        <v>2</v>
      </c>
      <c r="P53" s="18"/>
      <c r="Q53" s="19"/>
      <c r="R53" s="19"/>
      <c r="S53" s="19"/>
      <c r="T53" s="19"/>
      <c r="U53" s="19"/>
      <c r="V53" s="19"/>
      <c r="W53" s="20" t="s">
        <v>1</v>
      </c>
      <c r="X53" s="20"/>
      <c r="Y53" s="20"/>
      <c r="Z53" s="20"/>
      <c r="AA53" s="3"/>
      <c r="AB53" s="8"/>
    </row>
    <row r="54" spans="1:28" ht="15" customHeight="1" x14ac:dyDescent="0.25">
      <c r="A54" s="21" t="s">
        <v>3</v>
      </c>
      <c r="B54" s="21"/>
      <c r="C54" s="19"/>
      <c r="D54" s="19"/>
      <c r="E54" s="19"/>
      <c r="F54" s="19"/>
      <c r="G54" s="19"/>
      <c r="H54" s="19"/>
      <c r="I54" s="20"/>
      <c r="J54" s="20"/>
      <c r="K54" s="20"/>
      <c r="L54" s="20"/>
      <c r="M54" s="3"/>
      <c r="N54" s="8"/>
      <c r="O54" s="21" t="s">
        <v>3</v>
      </c>
      <c r="P54" s="21"/>
      <c r="Q54" s="19"/>
      <c r="R54" s="19"/>
      <c r="S54" s="19"/>
      <c r="T54" s="19"/>
      <c r="U54" s="19"/>
      <c r="V54" s="19"/>
      <c r="W54" s="20"/>
      <c r="X54" s="20"/>
      <c r="Y54" s="20"/>
      <c r="Z54" s="20"/>
      <c r="AA54" s="3"/>
      <c r="AB54" s="8"/>
    </row>
    <row r="55" spans="1:28" x14ac:dyDescent="0.25">
      <c r="A55" s="4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9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9"/>
    </row>
    <row r="56" spans="1:28" ht="15" customHeight="1" x14ac:dyDescent="0.45">
      <c r="A56" s="15">
        <f ca="1">TODAY()</f>
        <v>42945</v>
      </c>
      <c r="B56" s="16"/>
      <c r="C56" s="16"/>
      <c r="D56" s="6"/>
      <c r="E56" s="6"/>
      <c r="F56" s="6"/>
      <c r="G56" s="6"/>
      <c r="H56" s="7"/>
      <c r="I56" s="17" t="s">
        <v>0</v>
      </c>
      <c r="J56" s="17"/>
      <c r="K56" s="11"/>
      <c r="L56" s="11"/>
      <c r="M56" s="11"/>
      <c r="N56" s="6"/>
      <c r="O56" s="15">
        <f ca="1">TODAY()</f>
        <v>42945</v>
      </c>
      <c r="P56" s="16"/>
      <c r="Q56" s="16"/>
      <c r="R56" s="6"/>
      <c r="S56" s="6"/>
      <c r="T56" s="6"/>
      <c r="U56" s="6"/>
      <c r="V56" s="7"/>
      <c r="W56" s="17" t="s">
        <v>0</v>
      </c>
      <c r="X56" s="17"/>
      <c r="Y56" s="11"/>
      <c r="Z56" s="11"/>
      <c r="AA56" s="11"/>
      <c r="AB56" s="6"/>
    </row>
    <row r="57" spans="1:28" x14ac:dyDescent="0.25">
      <c r="A57" s="2"/>
      <c r="B57" s="3"/>
      <c r="C57" s="3"/>
      <c r="D57" s="3"/>
      <c r="E57" s="3"/>
      <c r="F57" s="3"/>
      <c r="G57" s="3"/>
      <c r="H57" s="3"/>
      <c r="I57" s="3"/>
      <c r="J57" s="3"/>
      <c r="K57" s="3" t="str">
        <f>EncodeBarcode(1,K56,K56,50,1,0,2)</f>
        <v/>
      </c>
      <c r="L57" s="3"/>
      <c r="M57" s="3"/>
      <c r="N57" s="3"/>
      <c r="O57" s="2"/>
      <c r="P57" s="3"/>
      <c r="Q57" s="3"/>
      <c r="R57" s="3"/>
      <c r="S57" s="3"/>
      <c r="T57" s="3"/>
      <c r="U57" s="3"/>
      <c r="V57" s="3"/>
      <c r="W57" s="3"/>
      <c r="X57" s="3"/>
      <c r="Y57" s="3" t="str">
        <f>EncodeBarcode(1,Y56,Y56,50,1,0,2)</f>
        <v/>
      </c>
      <c r="Z57" s="3"/>
      <c r="AA57" s="3"/>
      <c r="AB57" s="3"/>
    </row>
    <row r="58" spans="1:28" ht="15" customHeight="1" x14ac:dyDescent="0.25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4"/>
      <c r="O58" s="12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4"/>
    </row>
    <row r="59" spans="1:28" ht="15" customHeight="1" x14ac:dyDescent="0.25">
      <c r="A59" s="12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4"/>
      <c r="O59" s="12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4"/>
    </row>
    <row r="60" spans="1:28" ht="15" customHeight="1" x14ac:dyDescent="0.25">
      <c r="A60" s="12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4"/>
      <c r="O60" s="12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4"/>
    </row>
    <row r="61" spans="1:28" ht="15" customHeight="1" x14ac:dyDescent="0.25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4"/>
      <c r="O61" s="12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4"/>
    </row>
    <row r="62" spans="1:28" ht="15" customHeight="1" x14ac:dyDescent="0.25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4"/>
      <c r="O62" s="12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4"/>
    </row>
    <row r="63" spans="1:28" x14ac:dyDescent="0.25">
      <c r="A63" s="2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8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8"/>
    </row>
    <row r="64" spans="1:28" ht="15" customHeight="1" x14ac:dyDescent="0.25">
      <c r="A64" s="18" t="s">
        <v>2</v>
      </c>
      <c r="B64" s="18"/>
      <c r="C64" s="19"/>
      <c r="D64" s="19"/>
      <c r="E64" s="19"/>
      <c r="F64" s="19"/>
      <c r="G64" s="19"/>
      <c r="H64" s="19"/>
      <c r="I64" s="20" t="s">
        <v>1</v>
      </c>
      <c r="J64" s="20"/>
      <c r="K64" s="20"/>
      <c r="L64" s="20"/>
      <c r="M64" s="3"/>
      <c r="N64" s="8"/>
      <c r="O64" s="18" t="s">
        <v>2</v>
      </c>
      <c r="P64" s="18"/>
      <c r="Q64" s="19"/>
      <c r="R64" s="19"/>
      <c r="S64" s="19"/>
      <c r="T64" s="19"/>
      <c r="U64" s="19"/>
      <c r="V64" s="19"/>
      <c r="W64" s="20" t="s">
        <v>1</v>
      </c>
      <c r="X64" s="20"/>
      <c r="Y64" s="20"/>
      <c r="Z64" s="20"/>
      <c r="AA64" s="3"/>
      <c r="AB64" s="8"/>
    </row>
    <row r="65" spans="1:28" ht="15" customHeight="1" x14ac:dyDescent="0.25">
      <c r="A65" s="21" t="s">
        <v>3</v>
      </c>
      <c r="B65" s="21"/>
      <c r="C65" s="19"/>
      <c r="D65" s="19"/>
      <c r="E65" s="19"/>
      <c r="F65" s="19"/>
      <c r="G65" s="19"/>
      <c r="H65" s="19"/>
      <c r="I65" s="20"/>
      <c r="J65" s="20"/>
      <c r="K65" s="20"/>
      <c r="L65" s="20"/>
      <c r="M65" s="3"/>
      <c r="N65" s="8"/>
      <c r="O65" s="21" t="s">
        <v>3</v>
      </c>
      <c r="P65" s="21"/>
      <c r="Q65" s="19"/>
      <c r="R65" s="19"/>
      <c r="S65" s="19"/>
      <c r="T65" s="19"/>
      <c r="U65" s="19"/>
      <c r="V65" s="19"/>
      <c r="W65" s="20"/>
      <c r="X65" s="20"/>
      <c r="Y65" s="20"/>
      <c r="Z65" s="20"/>
      <c r="AA65" s="3"/>
      <c r="AB65" s="8"/>
    </row>
    <row r="66" spans="1:28" x14ac:dyDescent="0.25">
      <c r="A66" s="4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9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9"/>
    </row>
    <row r="67" spans="1:28" ht="15" customHeight="1" x14ac:dyDescent="0.45">
      <c r="A67" s="15">
        <f ca="1">TODAY()</f>
        <v>42945</v>
      </c>
      <c r="B67" s="16"/>
      <c r="C67" s="16"/>
      <c r="D67" s="6"/>
      <c r="E67" s="6"/>
      <c r="F67" s="6"/>
      <c r="G67" s="6"/>
      <c r="H67" s="7"/>
      <c r="I67" s="17" t="s">
        <v>0</v>
      </c>
      <c r="J67" s="17"/>
      <c r="K67" s="11"/>
      <c r="L67" s="11"/>
      <c r="M67" s="11"/>
      <c r="N67" s="6"/>
      <c r="O67" s="15">
        <f ca="1">TODAY()</f>
        <v>42945</v>
      </c>
      <c r="P67" s="16"/>
      <c r="Q67" s="16"/>
      <c r="R67" s="6"/>
      <c r="S67" s="6"/>
      <c r="T67" s="6"/>
      <c r="U67" s="6"/>
      <c r="V67" s="7"/>
      <c r="W67" s="17" t="s">
        <v>0</v>
      </c>
      <c r="X67" s="17"/>
      <c r="Y67" s="11"/>
      <c r="Z67" s="11"/>
      <c r="AA67" s="11"/>
      <c r="AB67" s="6"/>
    </row>
    <row r="68" spans="1:28" x14ac:dyDescent="0.25">
      <c r="A68" s="2"/>
      <c r="B68" s="3"/>
      <c r="C68" s="3"/>
      <c r="D68" s="3"/>
      <c r="E68" s="3"/>
      <c r="F68" s="3"/>
      <c r="G68" s="3"/>
      <c r="H68" s="3"/>
      <c r="I68" s="3"/>
      <c r="J68" s="3"/>
      <c r="K68" s="3" t="str">
        <f>EncodeBarcode(1,K67,K67,50,1,0,2)</f>
        <v/>
      </c>
      <c r="L68" s="3"/>
      <c r="M68" s="3"/>
      <c r="N68" s="3"/>
      <c r="O68" s="2"/>
      <c r="P68" s="3"/>
      <c r="Q68" s="3"/>
      <c r="R68" s="3"/>
      <c r="S68" s="3"/>
      <c r="T68" s="3"/>
      <c r="U68" s="3"/>
      <c r="V68" s="3"/>
      <c r="W68" s="3"/>
      <c r="X68" s="3"/>
      <c r="Y68" s="3" t="str">
        <f>EncodeBarcode(1,Y67,Y67,50,1,0,2)</f>
        <v/>
      </c>
      <c r="Z68" s="3"/>
      <c r="AA68" s="3"/>
      <c r="AB68" s="3"/>
    </row>
    <row r="69" spans="1:28" ht="15" customHeight="1" x14ac:dyDescent="0.25">
      <c r="A69" s="12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4"/>
      <c r="O69" s="12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4"/>
    </row>
    <row r="70" spans="1:28" ht="15" customHeight="1" x14ac:dyDescent="0.25">
      <c r="A70" s="12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4"/>
      <c r="O70" s="12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4"/>
    </row>
    <row r="71" spans="1:28" ht="15" customHeight="1" x14ac:dyDescent="0.25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4"/>
      <c r="O71" s="12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4"/>
    </row>
    <row r="72" spans="1:28" ht="15" customHeight="1" x14ac:dyDescent="0.25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4"/>
      <c r="O72" s="12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4"/>
    </row>
    <row r="73" spans="1:28" ht="15" customHeight="1" x14ac:dyDescent="0.25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4"/>
      <c r="O73" s="12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4"/>
    </row>
    <row r="74" spans="1:28" x14ac:dyDescent="0.25">
      <c r="A74" s="2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8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8"/>
    </row>
    <row r="75" spans="1:28" ht="15" customHeight="1" x14ac:dyDescent="0.25">
      <c r="A75" s="18" t="s">
        <v>2</v>
      </c>
      <c r="B75" s="18"/>
      <c r="C75" s="19"/>
      <c r="D75" s="19"/>
      <c r="E75" s="19"/>
      <c r="F75" s="19"/>
      <c r="G75" s="19"/>
      <c r="H75" s="19"/>
      <c r="I75" s="20" t="s">
        <v>1</v>
      </c>
      <c r="J75" s="20"/>
      <c r="K75" s="20"/>
      <c r="L75" s="20"/>
      <c r="M75" s="3"/>
      <c r="N75" s="8"/>
      <c r="O75" s="18" t="s">
        <v>2</v>
      </c>
      <c r="P75" s="18"/>
      <c r="Q75" s="19"/>
      <c r="R75" s="19"/>
      <c r="S75" s="19"/>
      <c r="T75" s="19"/>
      <c r="U75" s="19"/>
      <c r="V75" s="19"/>
      <c r="W75" s="20" t="s">
        <v>1</v>
      </c>
      <c r="X75" s="20"/>
      <c r="Y75" s="20"/>
      <c r="Z75" s="20"/>
      <c r="AA75" s="3"/>
      <c r="AB75" s="8"/>
    </row>
    <row r="76" spans="1:28" ht="15" customHeight="1" x14ac:dyDescent="0.25">
      <c r="A76" s="21" t="s">
        <v>3</v>
      </c>
      <c r="B76" s="21"/>
      <c r="C76" s="19"/>
      <c r="D76" s="19"/>
      <c r="E76" s="19"/>
      <c r="F76" s="19"/>
      <c r="G76" s="19"/>
      <c r="H76" s="19"/>
      <c r="I76" s="20"/>
      <c r="J76" s="20"/>
      <c r="K76" s="20"/>
      <c r="L76" s="20"/>
      <c r="M76" s="3"/>
      <c r="N76" s="8"/>
      <c r="O76" s="21" t="s">
        <v>3</v>
      </c>
      <c r="P76" s="21"/>
      <c r="Q76" s="19"/>
      <c r="R76" s="19"/>
      <c r="S76" s="19"/>
      <c r="T76" s="19"/>
      <c r="U76" s="19"/>
      <c r="V76" s="19"/>
      <c r="W76" s="20"/>
      <c r="X76" s="20"/>
      <c r="Y76" s="20"/>
      <c r="Z76" s="20"/>
      <c r="AA76" s="3"/>
      <c r="AB76" s="8"/>
    </row>
    <row r="77" spans="1:28" x14ac:dyDescent="0.25">
      <c r="A77" s="4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9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9"/>
    </row>
    <row r="78" spans="1:28" ht="15" customHeight="1" x14ac:dyDescent="0.45">
      <c r="A78" s="15">
        <f ca="1">TODAY()</f>
        <v>42945</v>
      </c>
      <c r="B78" s="16"/>
      <c r="C78" s="16"/>
      <c r="D78" s="6"/>
      <c r="E78" s="6"/>
      <c r="F78" s="6"/>
      <c r="G78" s="6"/>
      <c r="H78" s="7"/>
      <c r="I78" s="17" t="s">
        <v>0</v>
      </c>
      <c r="J78" s="17"/>
      <c r="K78" s="11"/>
      <c r="L78" s="11"/>
      <c r="M78" s="11"/>
      <c r="N78" s="6"/>
      <c r="O78" s="15">
        <f ca="1">TODAY()</f>
        <v>42945</v>
      </c>
      <c r="P78" s="16"/>
      <c r="Q78" s="16"/>
      <c r="R78" s="6"/>
      <c r="S78" s="6"/>
      <c r="T78" s="6"/>
      <c r="U78" s="6"/>
      <c r="V78" s="7"/>
      <c r="W78" s="17" t="s">
        <v>0</v>
      </c>
      <c r="X78" s="17"/>
      <c r="Y78" s="11"/>
      <c r="Z78" s="11"/>
      <c r="AA78" s="11"/>
      <c r="AB78" s="6"/>
    </row>
    <row r="79" spans="1:28" x14ac:dyDescent="0.25">
      <c r="A79" s="2"/>
      <c r="B79" s="3"/>
      <c r="C79" s="3"/>
      <c r="D79" s="3"/>
      <c r="E79" s="3"/>
      <c r="F79" s="3"/>
      <c r="G79" s="3"/>
      <c r="H79" s="3"/>
      <c r="I79" s="3"/>
      <c r="J79" s="3"/>
      <c r="K79" s="3" t="str">
        <f>EncodeBarcode(1,K78,K78,50,1,0,2)</f>
        <v/>
      </c>
      <c r="L79" s="3"/>
      <c r="M79" s="3"/>
      <c r="N79" s="3"/>
      <c r="O79" s="2"/>
      <c r="P79" s="3"/>
      <c r="Q79" s="3"/>
      <c r="R79" s="3"/>
      <c r="S79" s="3"/>
      <c r="T79" s="3"/>
      <c r="U79" s="3"/>
      <c r="V79" s="3"/>
      <c r="W79" s="3"/>
      <c r="X79" s="3"/>
      <c r="Y79" s="3" t="str">
        <f>EncodeBarcode(1,Y78,Y78,50,1,0,2)</f>
        <v/>
      </c>
      <c r="Z79" s="3"/>
      <c r="AA79" s="3"/>
      <c r="AB79" s="3"/>
    </row>
    <row r="80" spans="1:28" ht="15" customHeight="1" x14ac:dyDescent="0.25">
      <c r="A80" s="12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4"/>
      <c r="O80" s="12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4"/>
    </row>
    <row r="81" spans="1:28" ht="15" customHeight="1" x14ac:dyDescent="0.25">
      <c r="A81" s="12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4"/>
      <c r="O81" s="12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4"/>
    </row>
    <row r="82" spans="1:28" ht="15" customHeight="1" x14ac:dyDescent="0.25">
      <c r="A82" s="12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4"/>
      <c r="O82" s="12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4"/>
    </row>
    <row r="83" spans="1:28" ht="15" customHeight="1" x14ac:dyDescent="0.25">
      <c r="A83" s="12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4"/>
      <c r="O83" s="12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4"/>
    </row>
    <row r="84" spans="1:28" ht="15" customHeight="1" x14ac:dyDescent="0.25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4"/>
      <c r="O84" s="12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4"/>
    </row>
    <row r="85" spans="1:28" x14ac:dyDescent="0.25">
      <c r="A85" s="2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8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8"/>
    </row>
    <row r="86" spans="1:28" ht="15" customHeight="1" x14ac:dyDescent="0.25">
      <c r="A86" s="18" t="s">
        <v>2</v>
      </c>
      <c r="B86" s="18"/>
      <c r="C86" s="19"/>
      <c r="D86" s="19"/>
      <c r="E86" s="19"/>
      <c r="F86" s="19"/>
      <c r="G86" s="19"/>
      <c r="H86" s="19"/>
      <c r="I86" s="20" t="s">
        <v>1</v>
      </c>
      <c r="J86" s="20"/>
      <c r="K86" s="20"/>
      <c r="L86" s="20"/>
      <c r="M86" s="3"/>
      <c r="N86" s="8"/>
      <c r="O86" s="18" t="s">
        <v>2</v>
      </c>
      <c r="P86" s="18"/>
      <c r="Q86" s="19"/>
      <c r="R86" s="19"/>
      <c r="S86" s="19"/>
      <c r="T86" s="19"/>
      <c r="U86" s="19"/>
      <c r="V86" s="19"/>
      <c r="W86" s="20" t="s">
        <v>1</v>
      </c>
      <c r="X86" s="20"/>
      <c r="Y86" s="20"/>
      <c r="Z86" s="20"/>
      <c r="AA86" s="3"/>
      <c r="AB86" s="8"/>
    </row>
    <row r="87" spans="1:28" ht="15" customHeight="1" x14ac:dyDescent="0.25">
      <c r="A87" s="21" t="s">
        <v>3</v>
      </c>
      <c r="B87" s="21"/>
      <c r="C87" s="19"/>
      <c r="D87" s="19"/>
      <c r="E87" s="19"/>
      <c r="F87" s="19"/>
      <c r="G87" s="19"/>
      <c r="H87" s="19"/>
      <c r="I87" s="20"/>
      <c r="J87" s="20"/>
      <c r="K87" s="20"/>
      <c r="L87" s="20"/>
      <c r="M87" s="3"/>
      <c r="N87" s="8"/>
      <c r="O87" s="21" t="s">
        <v>3</v>
      </c>
      <c r="P87" s="21"/>
      <c r="Q87" s="19"/>
      <c r="R87" s="19"/>
      <c r="S87" s="19"/>
      <c r="T87" s="19"/>
      <c r="U87" s="19"/>
      <c r="V87" s="19"/>
      <c r="W87" s="20"/>
      <c r="X87" s="20"/>
      <c r="Y87" s="20"/>
      <c r="Z87" s="20"/>
      <c r="AA87" s="3"/>
      <c r="AB87" s="8"/>
    </row>
    <row r="88" spans="1:28" x14ac:dyDescent="0.25">
      <c r="A88" s="4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9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9"/>
    </row>
    <row r="89" spans="1:28" ht="15" customHeight="1" x14ac:dyDescent="0.45">
      <c r="A89" s="15">
        <f ca="1">TODAY()</f>
        <v>42945</v>
      </c>
      <c r="B89" s="16"/>
      <c r="C89" s="16"/>
      <c r="D89" s="6"/>
      <c r="E89" s="6"/>
      <c r="F89" s="6"/>
      <c r="G89" s="6"/>
      <c r="H89" s="7"/>
      <c r="I89" s="17" t="s">
        <v>0</v>
      </c>
      <c r="J89" s="17"/>
      <c r="K89" s="11"/>
      <c r="L89" s="11"/>
      <c r="M89" s="11"/>
      <c r="N89" s="6"/>
      <c r="O89" s="15">
        <f ca="1">TODAY()</f>
        <v>42945</v>
      </c>
      <c r="P89" s="16"/>
      <c r="Q89" s="16"/>
      <c r="R89" s="6"/>
      <c r="S89" s="6"/>
      <c r="T89" s="6"/>
      <c r="U89" s="6"/>
      <c r="V89" s="7"/>
      <c r="W89" s="17" t="s">
        <v>0</v>
      </c>
      <c r="X89" s="17"/>
      <c r="Y89" s="11"/>
      <c r="Z89" s="11"/>
      <c r="AA89" s="11"/>
      <c r="AB89" s="6"/>
    </row>
    <row r="90" spans="1:28" x14ac:dyDescent="0.25">
      <c r="A90" s="2"/>
      <c r="B90" s="3"/>
      <c r="C90" s="3"/>
      <c r="D90" s="3"/>
      <c r="E90" s="3"/>
      <c r="F90" s="3"/>
      <c r="G90" s="3"/>
      <c r="H90" s="3"/>
      <c r="I90" s="3"/>
      <c r="J90" s="3"/>
      <c r="K90" s="3" t="str">
        <f>EncodeBarcode(1,K89,K89,50,1,0,2)</f>
        <v/>
      </c>
      <c r="L90" s="3"/>
      <c r="M90" s="3"/>
      <c r="N90" s="3"/>
      <c r="O90" s="2"/>
      <c r="P90" s="3"/>
      <c r="Q90" s="3"/>
      <c r="R90" s="3"/>
      <c r="S90" s="3"/>
      <c r="T90" s="3"/>
      <c r="U90" s="3"/>
      <c r="V90" s="3"/>
      <c r="W90" s="3"/>
      <c r="X90" s="3"/>
      <c r="Y90" s="3" t="str">
        <f>EncodeBarcode(1,Y89,Y89,50,1,0,2)</f>
        <v/>
      </c>
      <c r="Z90" s="3"/>
      <c r="AA90" s="3"/>
      <c r="AB90" s="3"/>
    </row>
    <row r="91" spans="1:28" ht="15" customHeight="1" x14ac:dyDescent="0.25">
      <c r="A91" s="12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4"/>
      <c r="O91" s="12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4"/>
    </row>
    <row r="92" spans="1:28" ht="15" customHeight="1" x14ac:dyDescent="0.25">
      <c r="A92" s="12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4"/>
      <c r="O92" s="12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4"/>
    </row>
    <row r="93" spans="1:28" ht="15" customHeight="1" x14ac:dyDescent="0.25">
      <c r="A93" s="12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4"/>
      <c r="O93" s="12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4"/>
    </row>
    <row r="94" spans="1:28" ht="15" customHeight="1" x14ac:dyDescent="0.25">
      <c r="A94" s="12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4"/>
      <c r="O94" s="12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4"/>
    </row>
    <row r="95" spans="1:28" ht="15" customHeight="1" x14ac:dyDescent="0.25">
      <c r="A95" s="12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4"/>
      <c r="O95" s="12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4"/>
    </row>
    <row r="96" spans="1:28" x14ac:dyDescent="0.25">
      <c r="A96" s="2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8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8"/>
    </row>
    <row r="97" spans="1:28" ht="15" customHeight="1" x14ac:dyDescent="0.25">
      <c r="A97" s="18" t="s">
        <v>2</v>
      </c>
      <c r="B97" s="18"/>
      <c r="C97" s="19"/>
      <c r="D97" s="19"/>
      <c r="E97" s="19"/>
      <c r="F97" s="19"/>
      <c r="G97" s="19"/>
      <c r="H97" s="19"/>
      <c r="I97" s="20" t="s">
        <v>1</v>
      </c>
      <c r="J97" s="20"/>
      <c r="K97" s="20"/>
      <c r="L97" s="20"/>
      <c r="M97" s="3"/>
      <c r="N97" s="8"/>
      <c r="O97" s="18" t="s">
        <v>2</v>
      </c>
      <c r="P97" s="18"/>
      <c r="Q97" s="19"/>
      <c r="R97" s="19"/>
      <c r="S97" s="19"/>
      <c r="T97" s="19"/>
      <c r="U97" s="19"/>
      <c r="V97" s="19"/>
      <c r="W97" s="20" t="s">
        <v>1</v>
      </c>
      <c r="X97" s="20"/>
      <c r="Y97" s="20"/>
      <c r="Z97" s="20"/>
      <c r="AA97" s="3"/>
      <c r="AB97" s="8"/>
    </row>
    <row r="98" spans="1:28" ht="15" customHeight="1" x14ac:dyDescent="0.25">
      <c r="A98" s="21" t="s">
        <v>3</v>
      </c>
      <c r="B98" s="21"/>
      <c r="C98" s="19"/>
      <c r="D98" s="19"/>
      <c r="E98" s="19"/>
      <c r="F98" s="19"/>
      <c r="G98" s="19"/>
      <c r="H98" s="19"/>
      <c r="I98" s="20"/>
      <c r="J98" s="20"/>
      <c r="K98" s="20"/>
      <c r="L98" s="20"/>
      <c r="M98" s="3"/>
      <c r="N98" s="8"/>
      <c r="O98" s="21" t="s">
        <v>3</v>
      </c>
      <c r="P98" s="21"/>
      <c r="Q98" s="19"/>
      <c r="R98" s="19"/>
      <c r="S98" s="19"/>
      <c r="T98" s="19"/>
      <c r="U98" s="19"/>
      <c r="V98" s="19"/>
      <c r="W98" s="20"/>
      <c r="X98" s="20"/>
      <c r="Y98" s="20"/>
      <c r="Z98" s="20"/>
      <c r="AA98" s="3"/>
      <c r="AB98" s="8"/>
    </row>
    <row r="99" spans="1:28" x14ac:dyDescent="0.25">
      <c r="A99" s="4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9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9"/>
    </row>
    <row r="100" spans="1:28" ht="15" customHeight="1" x14ac:dyDescent="0.45">
      <c r="A100" s="15">
        <f ca="1">TODAY()</f>
        <v>42945</v>
      </c>
      <c r="B100" s="16"/>
      <c r="C100" s="16"/>
      <c r="D100" s="6"/>
      <c r="E100" s="6"/>
      <c r="F100" s="6"/>
      <c r="G100" s="6"/>
      <c r="H100" s="7"/>
      <c r="I100" s="17" t="s">
        <v>0</v>
      </c>
      <c r="J100" s="17"/>
      <c r="K100" s="11">
        <v>23</v>
      </c>
      <c r="L100" s="11"/>
      <c r="M100" s="11"/>
      <c r="N100" s="6"/>
      <c r="O100" s="15">
        <f ca="1">TODAY()</f>
        <v>42945</v>
      </c>
      <c r="P100" s="16"/>
      <c r="Q100" s="16"/>
      <c r="R100" s="6"/>
      <c r="S100" s="6"/>
      <c r="T100" s="6"/>
      <c r="U100" s="6"/>
      <c r="V100" s="7"/>
      <c r="W100" s="17" t="s">
        <v>0</v>
      </c>
      <c r="X100" s="17"/>
      <c r="Y100" s="11">
        <v>23</v>
      </c>
      <c r="Z100" s="11"/>
      <c r="AA100" s="11"/>
      <c r="AB100" s="6"/>
    </row>
    <row r="101" spans="1:28" x14ac:dyDescent="0.25">
      <c r="A101" s="2"/>
      <c r="B101" s="3"/>
      <c r="C101" s="3"/>
      <c r="D101" s="3"/>
      <c r="E101" s="3"/>
      <c r="F101" s="3"/>
      <c r="G101" s="3"/>
      <c r="H101" s="3"/>
      <c r="I101" s="3"/>
      <c r="J101" s="3"/>
      <c r="K101" s="3" t="str">
        <f>EncodeBarcode(1,K100,K100,50,1,0,2)</f>
        <v/>
      </c>
      <c r="L101" s="3"/>
      <c r="M101" s="3"/>
      <c r="N101" s="3"/>
      <c r="O101" s="2"/>
      <c r="P101" s="3"/>
      <c r="Q101" s="3"/>
      <c r="R101" s="3"/>
      <c r="S101" s="3"/>
      <c r="T101" s="3"/>
      <c r="U101" s="3"/>
      <c r="V101" s="3"/>
      <c r="W101" s="3"/>
      <c r="X101" s="3"/>
      <c r="Y101" s="3" t="str">
        <f>EncodeBarcode(1,Y100,Y100,50,1,0,2)</f>
        <v/>
      </c>
      <c r="Z101" s="3"/>
      <c r="AA101" s="3"/>
      <c r="AB101" s="3"/>
    </row>
    <row r="102" spans="1:28" ht="15" customHeight="1" x14ac:dyDescent="0.25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4"/>
      <c r="O102" s="12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4"/>
    </row>
    <row r="103" spans="1:28" ht="15" customHeight="1" x14ac:dyDescent="0.25">
      <c r="A103" s="12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4"/>
      <c r="O103" s="12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4"/>
    </row>
    <row r="104" spans="1:28" ht="15" customHeight="1" x14ac:dyDescent="0.25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4"/>
      <c r="O104" s="12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4"/>
    </row>
    <row r="105" spans="1:28" ht="15" customHeight="1" x14ac:dyDescent="0.25">
      <c r="A105" s="12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4"/>
      <c r="O105" s="12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4"/>
    </row>
    <row r="106" spans="1:28" ht="15" customHeight="1" x14ac:dyDescent="0.25">
      <c r="A106" s="12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4"/>
      <c r="O106" s="12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4"/>
    </row>
    <row r="107" spans="1:28" x14ac:dyDescent="0.25">
      <c r="A107" s="2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8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8"/>
    </row>
    <row r="108" spans="1:28" ht="15" customHeight="1" x14ac:dyDescent="0.25">
      <c r="A108" s="18" t="s">
        <v>2</v>
      </c>
      <c r="B108" s="18"/>
      <c r="C108" s="19"/>
      <c r="D108" s="19"/>
      <c r="E108" s="19"/>
      <c r="F108" s="19"/>
      <c r="G108" s="19"/>
      <c r="H108" s="19"/>
      <c r="I108" s="20" t="s">
        <v>1</v>
      </c>
      <c r="J108" s="20"/>
      <c r="K108" s="20"/>
      <c r="L108" s="20"/>
      <c r="M108" s="3"/>
      <c r="N108" s="8"/>
      <c r="O108" s="18" t="s">
        <v>2</v>
      </c>
      <c r="P108" s="18"/>
      <c r="Q108" s="19"/>
      <c r="R108" s="19"/>
      <c r="S108" s="19"/>
      <c r="T108" s="19"/>
      <c r="U108" s="19"/>
      <c r="V108" s="19"/>
      <c r="W108" s="20" t="s">
        <v>1</v>
      </c>
      <c r="X108" s="20"/>
      <c r="Y108" s="20"/>
      <c r="Z108" s="20"/>
      <c r="AA108" s="3"/>
      <c r="AB108" s="8"/>
    </row>
    <row r="109" spans="1:28" ht="15" customHeight="1" x14ac:dyDescent="0.25">
      <c r="A109" s="21" t="s">
        <v>3</v>
      </c>
      <c r="B109" s="21"/>
      <c r="C109" s="19"/>
      <c r="D109" s="19"/>
      <c r="E109" s="19"/>
      <c r="F109" s="19"/>
      <c r="G109" s="19"/>
      <c r="H109" s="19"/>
      <c r="I109" s="20"/>
      <c r="J109" s="20"/>
      <c r="K109" s="20"/>
      <c r="L109" s="20"/>
      <c r="M109" s="3"/>
      <c r="N109" s="8"/>
      <c r="O109" s="21" t="s">
        <v>3</v>
      </c>
      <c r="P109" s="21"/>
      <c r="Q109" s="19"/>
      <c r="R109" s="19"/>
      <c r="S109" s="19"/>
      <c r="T109" s="19"/>
      <c r="U109" s="19"/>
      <c r="V109" s="19"/>
      <c r="W109" s="20"/>
      <c r="X109" s="20"/>
      <c r="Y109" s="20"/>
      <c r="Z109" s="20"/>
      <c r="AA109" s="3"/>
      <c r="AB109" s="8"/>
    </row>
    <row r="110" spans="1:28" x14ac:dyDescent="0.25">
      <c r="A110" s="4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9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9"/>
    </row>
    <row r="111" spans="1:28" ht="15" customHeight="1" x14ac:dyDescent="0.45">
      <c r="A111" s="15">
        <f ca="1">TODAY()</f>
        <v>42945</v>
      </c>
      <c r="B111" s="16"/>
      <c r="C111" s="16"/>
      <c r="D111" s="6"/>
      <c r="E111" s="6"/>
      <c r="F111" s="6"/>
      <c r="G111" s="6"/>
      <c r="H111" s="7"/>
      <c r="I111" s="17" t="s">
        <v>0</v>
      </c>
      <c r="J111" s="17"/>
      <c r="K111" s="11"/>
      <c r="L111" s="11"/>
      <c r="M111" s="11"/>
      <c r="N111" s="6"/>
      <c r="O111" s="15">
        <f ca="1">TODAY()</f>
        <v>42945</v>
      </c>
      <c r="P111" s="16"/>
      <c r="Q111" s="16"/>
      <c r="R111" s="6"/>
      <c r="S111" s="6"/>
      <c r="T111" s="6"/>
      <c r="U111" s="6"/>
      <c r="V111" s="7"/>
      <c r="W111" s="17" t="s">
        <v>0</v>
      </c>
      <c r="X111" s="17"/>
      <c r="Y111" s="11"/>
      <c r="Z111" s="11"/>
      <c r="AA111" s="11"/>
      <c r="AB111" s="6"/>
    </row>
    <row r="112" spans="1:28" x14ac:dyDescent="0.25">
      <c r="A112" s="2"/>
      <c r="B112" s="3"/>
      <c r="C112" s="3"/>
      <c r="D112" s="3"/>
      <c r="E112" s="3"/>
      <c r="F112" s="3"/>
      <c r="G112" s="3"/>
      <c r="H112" s="3"/>
      <c r="I112" s="3"/>
      <c r="J112" s="3"/>
      <c r="K112" s="3" t="str">
        <f>EncodeBarcode(1,K111,K111,50,1,0,2)</f>
        <v/>
      </c>
      <c r="L112" s="3"/>
      <c r="M112" s="3"/>
      <c r="N112" s="3"/>
      <c r="O112" s="2"/>
      <c r="P112" s="3"/>
      <c r="Q112" s="3"/>
      <c r="R112" s="3"/>
      <c r="S112" s="3"/>
      <c r="T112" s="3"/>
      <c r="U112" s="3"/>
      <c r="V112" s="3"/>
      <c r="W112" s="3"/>
      <c r="X112" s="3"/>
      <c r="Y112" s="3" t="str">
        <f>EncodeBarcode(1,Y111,Y111,50,1,0,2)</f>
        <v/>
      </c>
      <c r="Z112" s="3"/>
      <c r="AA112" s="3"/>
      <c r="AB112" s="3"/>
    </row>
    <row r="113" spans="1:28" ht="15" customHeight="1" x14ac:dyDescent="0.25">
      <c r="A113" s="12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4"/>
      <c r="O113" s="12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4"/>
    </row>
    <row r="114" spans="1:28" ht="15" customHeight="1" x14ac:dyDescent="0.25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4"/>
      <c r="O114" s="12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4"/>
    </row>
    <row r="115" spans="1:28" ht="15" customHeight="1" x14ac:dyDescent="0.25">
      <c r="A115" s="12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4"/>
      <c r="O115" s="12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4"/>
    </row>
    <row r="116" spans="1:28" ht="15" customHeight="1" x14ac:dyDescent="0.25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4"/>
      <c r="O116" s="12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4"/>
    </row>
    <row r="117" spans="1:28" ht="15" customHeight="1" x14ac:dyDescent="0.25">
      <c r="A117" s="12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4"/>
      <c r="O117" s="12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4"/>
    </row>
    <row r="118" spans="1:28" x14ac:dyDescent="0.25">
      <c r="A118" s="2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8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8"/>
    </row>
    <row r="119" spans="1:28" ht="15" customHeight="1" x14ac:dyDescent="0.25">
      <c r="A119" s="18" t="s">
        <v>2</v>
      </c>
      <c r="B119" s="18"/>
      <c r="C119" s="19"/>
      <c r="D119" s="19"/>
      <c r="E119" s="19"/>
      <c r="F119" s="19"/>
      <c r="G119" s="19"/>
      <c r="H119" s="19"/>
      <c r="I119" s="20" t="s">
        <v>1</v>
      </c>
      <c r="J119" s="20"/>
      <c r="K119" s="20"/>
      <c r="L119" s="20"/>
      <c r="M119" s="3"/>
      <c r="N119" s="8"/>
      <c r="O119" s="18" t="s">
        <v>2</v>
      </c>
      <c r="P119" s="18"/>
      <c r="Q119" s="19"/>
      <c r="R119" s="19"/>
      <c r="S119" s="19"/>
      <c r="T119" s="19"/>
      <c r="U119" s="19"/>
      <c r="V119" s="19"/>
      <c r="W119" s="20" t="s">
        <v>1</v>
      </c>
      <c r="X119" s="20"/>
      <c r="Y119" s="20"/>
      <c r="Z119" s="20"/>
      <c r="AA119" s="3"/>
      <c r="AB119" s="8"/>
    </row>
    <row r="120" spans="1:28" ht="15" customHeight="1" x14ac:dyDescent="0.25">
      <c r="A120" s="21" t="s">
        <v>3</v>
      </c>
      <c r="B120" s="21"/>
      <c r="C120" s="19"/>
      <c r="D120" s="19"/>
      <c r="E120" s="19"/>
      <c r="F120" s="19"/>
      <c r="G120" s="19"/>
      <c r="H120" s="19"/>
      <c r="I120" s="20"/>
      <c r="J120" s="20"/>
      <c r="K120" s="20"/>
      <c r="L120" s="20"/>
      <c r="M120" s="3"/>
      <c r="N120" s="8"/>
      <c r="O120" s="21" t="s">
        <v>3</v>
      </c>
      <c r="P120" s="21"/>
      <c r="Q120" s="19"/>
      <c r="R120" s="19"/>
      <c r="S120" s="19"/>
      <c r="T120" s="19"/>
      <c r="U120" s="19"/>
      <c r="V120" s="19"/>
      <c r="W120" s="20"/>
      <c r="X120" s="20"/>
      <c r="Y120" s="20"/>
      <c r="Z120" s="20"/>
      <c r="AA120" s="3"/>
      <c r="AB120" s="8"/>
    </row>
    <row r="121" spans="1:28" x14ac:dyDescent="0.25">
      <c r="A121" s="4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9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9"/>
    </row>
    <row r="122" spans="1:28" ht="15" customHeight="1" x14ac:dyDescent="0.45">
      <c r="A122" s="15">
        <f ca="1">TODAY()</f>
        <v>42945</v>
      </c>
      <c r="B122" s="16"/>
      <c r="C122" s="16"/>
      <c r="D122" s="6"/>
      <c r="E122" s="6"/>
      <c r="F122" s="6"/>
      <c r="G122" s="6"/>
      <c r="H122" s="7"/>
      <c r="I122" s="17" t="s">
        <v>0</v>
      </c>
      <c r="J122" s="17"/>
      <c r="K122" s="11"/>
      <c r="L122" s="11"/>
      <c r="M122" s="11"/>
      <c r="N122" s="6"/>
      <c r="O122" s="15">
        <f ca="1">TODAY()</f>
        <v>42945</v>
      </c>
      <c r="P122" s="16"/>
      <c r="Q122" s="16"/>
      <c r="R122" s="6"/>
      <c r="S122" s="6"/>
      <c r="T122" s="6"/>
      <c r="U122" s="6"/>
      <c r="V122" s="7"/>
      <c r="W122" s="17" t="s">
        <v>0</v>
      </c>
      <c r="X122" s="17"/>
      <c r="Y122" s="11"/>
      <c r="Z122" s="11"/>
      <c r="AA122" s="11"/>
      <c r="AB122" s="6"/>
    </row>
    <row r="123" spans="1:28" x14ac:dyDescent="0.25">
      <c r="A123" s="2"/>
      <c r="B123" s="3"/>
      <c r="C123" s="3"/>
      <c r="D123" s="3"/>
      <c r="E123" s="3"/>
      <c r="F123" s="3"/>
      <c r="G123" s="3"/>
      <c r="H123" s="3"/>
      <c r="I123" s="3"/>
      <c r="J123" s="3"/>
      <c r="K123" s="3" t="str">
        <f>EncodeBarcode(1,K122,K122,50,1,0,2)</f>
        <v/>
      </c>
      <c r="L123" s="3"/>
      <c r="M123" s="3"/>
      <c r="N123" s="3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 t="str">
        <f>EncodeBarcode(1,Y122,Y122,50,1,0,2)</f>
        <v/>
      </c>
      <c r="Z123" s="3"/>
      <c r="AA123" s="3"/>
      <c r="AB123" s="3"/>
    </row>
    <row r="124" spans="1:28" ht="15" customHeight="1" x14ac:dyDescent="0.25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4"/>
      <c r="O124" s="12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4"/>
    </row>
    <row r="125" spans="1:28" ht="15" customHeight="1" x14ac:dyDescent="0.25">
      <c r="A125" s="12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4"/>
      <c r="O125" s="12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4"/>
    </row>
    <row r="126" spans="1:28" ht="15" customHeight="1" x14ac:dyDescent="0.25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4"/>
      <c r="O126" s="12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4"/>
    </row>
    <row r="127" spans="1:28" ht="15" customHeight="1" x14ac:dyDescent="0.25">
      <c r="A127" s="12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4"/>
      <c r="O127" s="12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4"/>
    </row>
    <row r="128" spans="1:28" ht="15" customHeight="1" x14ac:dyDescent="0.25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4"/>
      <c r="O128" s="12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4"/>
    </row>
    <row r="129" spans="1:28" x14ac:dyDescent="0.25">
      <c r="A129" s="2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8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8"/>
    </row>
    <row r="130" spans="1:28" ht="15" customHeight="1" x14ac:dyDescent="0.25">
      <c r="A130" s="18" t="s">
        <v>2</v>
      </c>
      <c r="B130" s="18"/>
      <c r="C130" s="19"/>
      <c r="D130" s="19"/>
      <c r="E130" s="19"/>
      <c r="F130" s="19"/>
      <c r="G130" s="19"/>
      <c r="H130" s="19"/>
      <c r="I130" s="20" t="s">
        <v>1</v>
      </c>
      <c r="J130" s="20"/>
      <c r="K130" s="20"/>
      <c r="L130" s="20"/>
      <c r="M130" s="3"/>
      <c r="N130" s="8"/>
      <c r="O130" s="18" t="s">
        <v>2</v>
      </c>
      <c r="P130" s="18"/>
      <c r="Q130" s="19"/>
      <c r="R130" s="19"/>
      <c r="S130" s="19"/>
      <c r="T130" s="19"/>
      <c r="U130" s="19"/>
      <c r="V130" s="19"/>
      <c r="W130" s="20" t="s">
        <v>1</v>
      </c>
      <c r="X130" s="20"/>
      <c r="Y130" s="20"/>
      <c r="Z130" s="20"/>
      <c r="AA130" s="3"/>
      <c r="AB130" s="8"/>
    </row>
    <row r="131" spans="1:28" ht="15" customHeight="1" x14ac:dyDescent="0.25">
      <c r="A131" s="21" t="s">
        <v>3</v>
      </c>
      <c r="B131" s="21"/>
      <c r="C131" s="19"/>
      <c r="D131" s="19"/>
      <c r="E131" s="19"/>
      <c r="F131" s="19"/>
      <c r="G131" s="19"/>
      <c r="H131" s="19"/>
      <c r="I131" s="20"/>
      <c r="J131" s="20"/>
      <c r="K131" s="20"/>
      <c r="L131" s="20"/>
      <c r="M131" s="3"/>
      <c r="N131" s="8"/>
      <c r="O131" s="21" t="s">
        <v>3</v>
      </c>
      <c r="P131" s="21"/>
      <c r="Q131" s="19"/>
      <c r="R131" s="19"/>
      <c r="S131" s="19"/>
      <c r="T131" s="19"/>
      <c r="U131" s="19"/>
      <c r="V131" s="19"/>
      <c r="W131" s="20"/>
      <c r="X131" s="20"/>
      <c r="Y131" s="20"/>
      <c r="Z131" s="20"/>
      <c r="AA131" s="3"/>
      <c r="AB131" s="8"/>
    </row>
    <row r="132" spans="1:28" x14ac:dyDescent="0.25">
      <c r="A132" s="4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9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9"/>
    </row>
    <row r="133" spans="1:28" ht="15" customHeight="1" x14ac:dyDescent="0.45">
      <c r="A133" s="15">
        <f ca="1">TODAY()</f>
        <v>42945</v>
      </c>
      <c r="B133" s="16"/>
      <c r="C133" s="16"/>
      <c r="D133" s="6"/>
      <c r="E133" s="6"/>
      <c r="F133" s="6"/>
      <c r="G133" s="6"/>
      <c r="H133" s="7"/>
      <c r="I133" s="17" t="s">
        <v>0</v>
      </c>
      <c r="J133" s="17"/>
      <c r="K133" s="11"/>
      <c r="L133" s="11"/>
      <c r="M133" s="11"/>
      <c r="N133" s="6"/>
      <c r="O133" s="15">
        <f ca="1">TODAY()</f>
        <v>42945</v>
      </c>
      <c r="P133" s="16"/>
      <c r="Q133" s="16"/>
      <c r="R133" s="6"/>
      <c r="S133" s="6"/>
      <c r="T133" s="6"/>
      <c r="U133" s="6"/>
      <c r="V133" s="7"/>
      <c r="W133" s="17" t="s">
        <v>0</v>
      </c>
      <c r="X133" s="17"/>
      <c r="Y133" s="11"/>
      <c r="Z133" s="11"/>
      <c r="AA133" s="11"/>
      <c r="AB133" s="6"/>
    </row>
    <row r="134" spans="1:28" x14ac:dyDescent="0.25">
      <c r="A134" s="2"/>
      <c r="B134" s="3"/>
      <c r="C134" s="3"/>
      <c r="D134" s="3"/>
      <c r="E134" s="3"/>
      <c r="F134" s="3"/>
      <c r="G134" s="3"/>
      <c r="H134" s="3"/>
      <c r="I134" s="3"/>
      <c r="J134" s="3"/>
      <c r="K134" s="3" t="str">
        <f>EncodeBarcode(1,K133,K133,50,1,0,2)</f>
        <v/>
      </c>
      <c r="L134" s="3"/>
      <c r="M134" s="3"/>
      <c r="N134" s="3"/>
      <c r="O134" s="2"/>
      <c r="P134" s="3"/>
      <c r="Q134" s="3"/>
      <c r="R134" s="3"/>
      <c r="S134" s="3"/>
      <c r="T134" s="3"/>
      <c r="U134" s="3"/>
      <c r="V134" s="3"/>
      <c r="W134" s="3"/>
      <c r="X134" s="3"/>
      <c r="Y134" s="3" t="str">
        <f>EncodeBarcode(1,Y133,Y133,50,1,0,2)</f>
        <v/>
      </c>
      <c r="Z134" s="3"/>
      <c r="AA134" s="3"/>
      <c r="AB134" s="3"/>
    </row>
    <row r="135" spans="1:28" ht="15" customHeight="1" x14ac:dyDescent="0.25">
      <c r="A135" s="12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4"/>
      <c r="O135" s="12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4"/>
    </row>
    <row r="136" spans="1:28" ht="15" customHeight="1" x14ac:dyDescent="0.25">
      <c r="A136" s="12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4"/>
      <c r="O136" s="12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4"/>
    </row>
    <row r="137" spans="1:28" ht="15" customHeight="1" x14ac:dyDescent="0.25">
      <c r="A137" s="12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4"/>
      <c r="O137" s="12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4"/>
    </row>
    <row r="138" spans="1:28" ht="15" customHeight="1" x14ac:dyDescent="0.25">
      <c r="A138" s="12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4"/>
      <c r="O138" s="12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4"/>
    </row>
    <row r="139" spans="1:28" ht="15" customHeight="1" x14ac:dyDescent="0.25">
      <c r="A139" s="12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4"/>
      <c r="O139" s="12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4"/>
    </row>
    <row r="140" spans="1:28" x14ac:dyDescent="0.25">
      <c r="A140" s="2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8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8"/>
    </row>
    <row r="141" spans="1:28" ht="15" customHeight="1" x14ac:dyDescent="0.25">
      <c r="A141" s="18" t="s">
        <v>2</v>
      </c>
      <c r="B141" s="18"/>
      <c r="C141" s="19"/>
      <c r="D141" s="19"/>
      <c r="E141" s="19"/>
      <c r="F141" s="19"/>
      <c r="G141" s="19"/>
      <c r="H141" s="19"/>
      <c r="I141" s="20" t="s">
        <v>1</v>
      </c>
      <c r="J141" s="20"/>
      <c r="K141" s="20"/>
      <c r="L141" s="20"/>
      <c r="M141" s="3"/>
      <c r="N141" s="8"/>
      <c r="O141" s="18" t="s">
        <v>2</v>
      </c>
      <c r="P141" s="18"/>
      <c r="Q141" s="19"/>
      <c r="R141" s="19"/>
      <c r="S141" s="19"/>
      <c r="T141" s="19"/>
      <c r="U141" s="19"/>
      <c r="V141" s="19"/>
      <c r="W141" s="20" t="s">
        <v>1</v>
      </c>
      <c r="X141" s="20"/>
      <c r="Y141" s="20"/>
      <c r="Z141" s="20"/>
      <c r="AA141" s="3"/>
      <c r="AB141" s="8"/>
    </row>
    <row r="142" spans="1:28" ht="15" customHeight="1" x14ac:dyDescent="0.25">
      <c r="A142" s="21" t="s">
        <v>3</v>
      </c>
      <c r="B142" s="21"/>
      <c r="C142" s="19"/>
      <c r="D142" s="19"/>
      <c r="E142" s="19"/>
      <c r="F142" s="19"/>
      <c r="G142" s="19"/>
      <c r="H142" s="19"/>
      <c r="I142" s="20"/>
      <c r="J142" s="20"/>
      <c r="K142" s="20"/>
      <c r="L142" s="20"/>
      <c r="M142" s="3"/>
      <c r="N142" s="8"/>
      <c r="O142" s="21" t="s">
        <v>3</v>
      </c>
      <c r="P142" s="21"/>
      <c r="Q142" s="19"/>
      <c r="R142" s="19"/>
      <c r="S142" s="19"/>
      <c r="T142" s="19"/>
      <c r="U142" s="19"/>
      <c r="V142" s="19"/>
      <c r="W142" s="20"/>
      <c r="X142" s="20"/>
      <c r="Y142" s="20"/>
      <c r="Z142" s="20"/>
      <c r="AA142" s="3"/>
      <c r="AB142" s="8"/>
    </row>
    <row r="143" spans="1:28" x14ac:dyDescent="0.25">
      <c r="A143" s="4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9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9"/>
    </row>
    <row r="144" spans="1:28" ht="15" customHeight="1" x14ac:dyDescent="0.45">
      <c r="A144" s="15">
        <f ca="1">TODAY()</f>
        <v>42945</v>
      </c>
      <c r="B144" s="16"/>
      <c r="C144" s="16"/>
      <c r="D144" s="6"/>
      <c r="E144" s="6"/>
      <c r="F144" s="6"/>
      <c r="G144" s="6"/>
      <c r="H144" s="7"/>
      <c r="I144" s="17" t="s">
        <v>0</v>
      </c>
      <c r="J144" s="17"/>
      <c r="K144" s="11"/>
      <c r="L144" s="11"/>
      <c r="M144" s="11"/>
      <c r="N144" s="6"/>
      <c r="O144" s="15">
        <f ca="1">TODAY()</f>
        <v>42945</v>
      </c>
      <c r="P144" s="16"/>
      <c r="Q144" s="16"/>
      <c r="R144" s="6"/>
      <c r="S144" s="6"/>
      <c r="T144" s="6"/>
      <c r="U144" s="6"/>
      <c r="V144" s="7"/>
      <c r="W144" s="17" t="s">
        <v>0</v>
      </c>
      <c r="X144" s="17"/>
      <c r="Y144" s="11"/>
      <c r="Z144" s="11"/>
      <c r="AA144" s="11"/>
      <c r="AB144" s="6"/>
    </row>
    <row r="145" spans="1:28" x14ac:dyDescent="0.25">
      <c r="A145" s="2"/>
      <c r="B145" s="3"/>
      <c r="C145" s="3"/>
      <c r="D145" s="3"/>
      <c r="E145" s="3"/>
      <c r="F145" s="3"/>
      <c r="G145" s="3"/>
      <c r="H145" s="3"/>
      <c r="I145" s="3"/>
      <c r="J145" s="3"/>
      <c r="K145" s="3" t="str">
        <f>EncodeBarcode(1,K144,K144,50,1,0,2)</f>
        <v/>
      </c>
      <c r="L145" s="3"/>
      <c r="M145" s="3"/>
      <c r="N145" s="3"/>
      <c r="O145" s="2"/>
      <c r="P145" s="3"/>
      <c r="Q145" s="3"/>
      <c r="R145" s="3"/>
      <c r="S145" s="3"/>
      <c r="T145" s="3"/>
      <c r="U145" s="3"/>
      <c r="V145" s="3"/>
      <c r="W145" s="3"/>
      <c r="X145" s="3"/>
      <c r="Y145" s="3" t="str">
        <f>EncodeBarcode(1,Y144,Y144,50,1,0,2)</f>
        <v/>
      </c>
      <c r="Z145" s="3"/>
      <c r="AA145" s="3"/>
      <c r="AB145" s="3"/>
    </row>
    <row r="146" spans="1:28" ht="15" customHeight="1" x14ac:dyDescent="0.25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4"/>
      <c r="O146" s="12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4"/>
    </row>
    <row r="147" spans="1:28" ht="15" customHeight="1" x14ac:dyDescent="0.25">
      <c r="A147" s="12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4"/>
      <c r="O147" s="12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4"/>
    </row>
    <row r="148" spans="1:28" ht="15" customHeight="1" x14ac:dyDescent="0.25">
      <c r="A148" s="12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4"/>
      <c r="O148" s="12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4"/>
    </row>
    <row r="149" spans="1:28" ht="15" customHeight="1" x14ac:dyDescent="0.25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4"/>
      <c r="O149" s="12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4"/>
    </row>
    <row r="150" spans="1:28" ht="15" customHeight="1" x14ac:dyDescent="0.25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4"/>
      <c r="O150" s="12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4"/>
    </row>
    <row r="151" spans="1:28" x14ac:dyDescent="0.25">
      <c r="A151" s="2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8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8"/>
    </row>
    <row r="152" spans="1:28" ht="15" customHeight="1" x14ac:dyDescent="0.25">
      <c r="A152" s="18" t="s">
        <v>2</v>
      </c>
      <c r="B152" s="18"/>
      <c r="C152" s="19"/>
      <c r="D152" s="19"/>
      <c r="E152" s="19"/>
      <c r="F152" s="19"/>
      <c r="G152" s="19"/>
      <c r="H152" s="19"/>
      <c r="I152" s="20" t="s">
        <v>1</v>
      </c>
      <c r="J152" s="20"/>
      <c r="K152" s="20"/>
      <c r="L152" s="20"/>
      <c r="M152" s="3"/>
      <c r="N152" s="8"/>
      <c r="O152" s="18" t="s">
        <v>2</v>
      </c>
      <c r="P152" s="18"/>
      <c r="Q152" s="19"/>
      <c r="R152" s="19"/>
      <c r="S152" s="19"/>
      <c r="T152" s="19"/>
      <c r="U152" s="19"/>
      <c r="V152" s="19"/>
      <c r="W152" s="20" t="s">
        <v>1</v>
      </c>
      <c r="X152" s="20"/>
      <c r="Y152" s="20"/>
      <c r="Z152" s="20"/>
      <c r="AA152" s="3"/>
      <c r="AB152" s="8"/>
    </row>
    <row r="153" spans="1:28" ht="15" customHeight="1" x14ac:dyDescent="0.25">
      <c r="A153" s="21" t="s">
        <v>3</v>
      </c>
      <c r="B153" s="21"/>
      <c r="C153" s="19"/>
      <c r="D153" s="19"/>
      <c r="E153" s="19"/>
      <c r="F153" s="19"/>
      <c r="G153" s="19"/>
      <c r="H153" s="19"/>
      <c r="I153" s="20"/>
      <c r="J153" s="20"/>
      <c r="K153" s="20"/>
      <c r="L153" s="20"/>
      <c r="M153" s="3"/>
      <c r="N153" s="8"/>
      <c r="O153" s="21" t="s">
        <v>3</v>
      </c>
      <c r="P153" s="21"/>
      <c r="Q153" s="19"/>
      <c r="R153" s="19"/>
      <c r="S153" s="19"/>
      <c r="T153" s="19"/>
      <c r="U153" s="19"/>
      <c r="V153" s="19"/>
      <c r="W153" s="20"/>
      <c r="X153" s="20"/>
      <c r="Y153" s="20"/>
      <c r="Z153" s="20"/>
      <c r="AA153" s="3"/>
      <c r="AB153" s="8"/>
    </row>
    <row r="154" spans="1:28" x14ac:dyDescent="0.25">
      <c r="A154" s="4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9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9"/>
    </row>
    <row r="155" spans="1:28" ht="15" customHeight="1" x14ac:dyDescent="0.45">
      <c r="A155" s="15">
        <f ca="1">TODAY()</f>
        <v>42945</v>
      </c>
      <c r="B155" s="16"/>
      <c r="C155" s="16"/>
      <c r="D155" s="6"/>
      <c r="E155" s="6"/>
      <c r="F155" s="6"/>
      <c r="G155" s="6"/>
      <c r="H155" s="7"/>
      <c r="I155" s="17" t="s">
        <v>0</v>
      </c>
      <c r="J155" s="17"/>
      <c r="K155" s="11"/>
      <c r="L155" s="11"/>
      <c r="M155" s="11"/>
      <c r="N155" s="6"/>
      <c r="O155" s="15">
        <f ca="1">TODAY()</f>
        <v>42945</v>
      </c>
      <c r="P155" s="16"/>
      <c r="Q155" s="16"/>
      <c r="R155" s="6"/>
      <c r="S155" s="6"/>
      <c r="T155" s="6"/>
      <c r="U155" s="6"/>
      <c r="V155" s="7"/>
      <c r="W155" s="17" t="s">
        <v>0</v>
      </c>
      <c r="X155" s="17"/>
      <c r="Y155" s="11"/>
      <c r="Z155" s="11"/>
      <c r="AA155" s="11"/>
      <c r="AB155" s="6"/>
    </row>
    <row r="156" spans="1:28" x14ac:dyDescent="0.25">
      <c r="A156" s="2"/>
      <c r="B156" s="3"/>
      <c r="C156" s="3"/>
      <c r="D156" s="3"/>
      <c r="E156" s="3"/>
      <c r="F156" s="3"/>
      <c r="G156" s="3"/>
      <c r="H156" s="3"/>
      <c r="I156" s="3"/>
      <c r="J156" s="3"/>
      <c r="K156" s="3" t="str">
        <f>EncodeBarcode(1,K155,K155,50,1,0,2)</f>
        <v/>
      </c>
      <c r="L156" s="3"/>
      <c r="M156" s="3"/>
      <c r="N156" s="3"/>
      <c r="O156" s="2"/>
      <c r="P156" s="3"/>
      <c r="Q156" s="3"/>
      <c r="R156" s="3"/>
      <c r="S156" s="3"/>
      <c r="T156" s="3"/>
      <c r="U156" s="3"/>
      <c r="V156" s="3"/>
      <c r="W156" s="3"/>
      <c r="X156" s="3"/>
      <c r="Y156" s="3" t="str">
        <f>EncodeBarcode(1,Y155,Y155,50,1,0,2)</f>
        <v/>
      </c>
      <c r="Z156" s="3"/>
      <c r="AA156" s="3"/>
      <c r="AB156" s="3"/>
    </row>
    <row r="157" spans="1:28" ht="15" customHeight="1" x14ac:dyDescent="0.25">
      <c r="A157" s="12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4"/>
      <c r="O157" s="12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4"/>
    </row>
    <row r="158" spans="1:28" ht="15" customHeight="1" x14ac:dyDescent="0.25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4"/>
      <c r="O158" s="12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4"/>
    </row>
    <row r="159" spans="1:28" ht="15" customHeight="1" x14ac:dyDescent="0.25">
      <c r="A159" s="12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4"/>
      <c r="O159" s="12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4"/>
    </row>
    <row r="160" spans="1:28" ht="15" customHeight="1" x14ac:dyDescent="0.25">
      <c r="A160" s="12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4"/>
      <c r="O160" s="12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4"/>
    </row>
    <row r="161" spans="1:28" ht="15" customHeight="1" x14ac:dyDescent="0.25">
      <c r="A161" s="12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4"/>
      <c r="O161" s="12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4"/>
    </row>
    <row r="162" spans="1:28" x14ac:dyDescent="0.25">
      <c r="A162" s="2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8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8"/>
    </row>
    <row r="163" spans="1:28" ht="15" customHeight="1" x14ac:dyDescent="0.25">
      <c r="A163" s="18" t="s">
        <v>2</v>
      </c>
      <c r="B163" s="18"/>
      <c r="C163" s="19"/>
      <c r="D163" s="19"/>
      <c r="E163" s="19"/>
      <c r="F163" s="19"/>
      <c r="G163" s="19"/>
      <c r="H163" s="19"/>
      <c r="I163" s="20" t="s">
        <v>1</v>
      </c>
      <c r="J163" s="20"/>
      <c r="K163" s="20"/>
      <c r="L163" s="20"/>
      <c r="M163" s="3"/>
      <c r="N163" s="8"/>
      <c r="O163" s="18" t="s">
        <v>2</v>
      </c>
      <c r="P163" s="18"/>
      <c r="Q163" s="19"/>
      <c r="R163" s="19"/>
      <c r="S163" s="19"/>
      <c r="T163" s="19"/>
      <c r="U163" s="19"/>
      <c r="V163" s="19"/>
      <c r="W163" s="20" t="s">
        <v>1</v>
      </c>
      <c r="X163" s="20"/>
      <c r="Y163" s="20"/>
      <c r="Z163" s="20"/>
      <c r="AA163" s="3"/>
      <c r="AB163" s="8"/>
    </row>
    <row r="164" spans="1:28" ht="15" customHeight="1" x14ac:dyDescent="0.25">
      <c r="A164" s="21" t="s">
        <v>3</v>
      </c>
      <c r="B164" s="21"/>
      <c r="C164" s="19"/>
      <c r="D164" s="19"/>
      <c r="E164" s="19"/>
      <c r="F164" s="19"/>
      <c r="G164" s="19"/>
      <c r="H164" s="19"/>
      <c r="I164" s="20"/>
      <c r="J164" s="20"/>
      <c r="K164" s="20"/>
      <c r="L164" s="20"/>
      <c r="M164" s="3"/>
      <c r="N164" s="8"/>
      <c r="O164" s="21" t="s">
        <v>3</v>
      </c>
      <c r="P164" s="21"/>
      <c r="Q164" s="19"/>
      <c r="R164" s="19"/>
      <c r="S164" s="19"/>
      <c r="T164" s="19"/>
      <c r="U164" s="19"/>
      <c r="V164" s="19"/>
      <c r="W164" s="20"/>
      <c r="X164" s="20"/>
      <c r="Y164" s="20"/>
      <c r="Z164" s="20"/>
      <c r="AA164" s="3"/>
      <c r="AB164" s="8"/>
    </row>
    <row r="165" spans="1:28" x14ac:dyDescent="0.25">
      <c r="A165" s="4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9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9"/>
    </row>
    <row r="166" spans="1:28" ht="15" customHeight="1" x14ac:dyDescent="0.45">
      <c r="A166" s="15">
        <f ca="1">TODAY()</f>
        <v>42945</v>
      </c>
      <c r="B166" s="16"/>
      <c r="C166" s="16"/>
      <c r="D166" s="6"/>
      <c r="E166" s="6"/>
      <c r="F166" s="6"/>
      <c r="G166" s="6"/>
      <c r="H166" s="7"/>
      <c r="I166" s="17" t="s">
        <v>0</v>
      </c>
      <c r="J166" s="17"/>
      <c r="K166" s="11"/>
      <c r="L166" s="11"/>
      <c r="M166" s="11"/>
      <c r="N166" s="6"/>
      <c r="O166" s="15">
        <f ca="1">TODAY()</f>
        <v>42945</v>
      </c>
      <c r="P166" s="16"/>
      <c r="Q166" s="16"/>
      <c r="R166" s="6"/>
      <c r="S166" s="6"/>
      <c r="T166" s="6"/>
      <c r="U166" s="6"/>
      <c r="V166" s="7"/>
      <c r="W166" s="17" t="s">
        <v>0</v>
      </c>
      <c r="X166" s="17"/>
      <c r="Y166" s="11"/>
      <c r="Z166" s="11"/>
      <c r="AA166" s="11"/>
      <c r="AB166" s="6"/>
    </row>
    <row r="167" spans="1:28" x14ac:dyDescent="0.25">
      <c r="A167" s="2"/>
      <c r="B167" s="3"/>
      <c r="C167" s="3"/>
      <c r="D167" s="3"/>
      <c r="E167" s="3"/>
      <c r="F167" s="3"/>
      <c r="G167" s="3"/>
      <c r="H167" s="3"/>
      <c r="I167" s="3"/>
      <c r="J167" s="3"/>
      <c r="K167" s="3" t="str">
        <f>EncodeBarcode(1,K166,K166,50,1,0,2)</f>
        <v/>
      </c>
      <c r="L167" s="3"/>
      <c r="M167" s="3"/>
      <c r="N167" s="3"/>
      <c r="O167" s="2"/>
      <c r="P167" s="3"/>
      <c r="Q167" s="3"/>
      <c r="R167" s="3"/>
      <c r="S167" s="3"/>
      <c r="T167" s="3"/>
      <c r="U167" s="3"/>
      <c r="V167" s="3"/>
      <c r="W167" s="3"/>
      <c r="X167" s="3"/>
      <c r="Y167" s="3" t="str">
        <f>EncodeBarcode(1,Y166,Y166,50,1,0,2)</f>
        <v/>
      </c>
      <c r="Z167" s="3"/>
      <c r="AA167" s="3"/>
      <c r="AB167" s="3"/>
    </row>
    <row r="168" spans="1:28" ht="15" customHeight="1" x14ac:dyDescent="0.25">
      <c r="A168" s="12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4"/>
      <c r="O168" s="12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4"/>
    </row>
    <row r="169" spans="1:28" ht="15" customHeight="1" x14ac:dyDescent="0.25">
      <c r="A169" s="12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4"/>
      <c r="O169" s="12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4"/>
    </row>
    <row r="170" spans="1:28" ht="15" customHeight="1" x14ac:dyDescent="0.25">
      <c r="A170" s="12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4"/>
      <c r="O170" s="12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4"/>
    </row>
    <row r="171" spans="1:28" ht="15" customHeight="1" x14ac:dyDescent="0.25">
      <c r="A171" s="12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4"/>
      <c r="O171" s="12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4"/>
    </row>
    <row r="172" spans="1:28" ht="15" customHeight="1" x14ac:dyDescent="0.25">
      <c r="A172" s="12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4"/>
      <c r="O172" s="12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4"/>
    </row>
    <row r="173" spans="1:28" x14ac:dyDescent="0.25">
      <c r="A173" s="2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8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8"/>
    </row>
    <row r="174" spans="1:28" ht="15" customHeight="1" x14ac:dyDescent="0.25">
      <c r="A174" s="18" t="s">
        <v>2</v>
      </c>
      <c r="B174" s="18"/>
      <c r="C174" s="19"/>
      <c r="D174" s="19"/>
      <c r="E174" s="19"/>
      <c r="F174" s="19"/>
      <c r="G174" s="19"/>
      <c r="H174" s="19"/>
      <c r="I174" s="20" t="s">
        <v>1</v>
      </c>
      <c r="J174" s="20"/>
      <c r="K174" s="20"/>
      <c r="L174" s="20"/>
      <c r="M174" s="3"/>
      <c r="N174" s="8"/>
      <c r="O174" s="18" t="s">
        <v>2</v>
      </c>
      <c r="P174" s="18"/>
      <c r="Q174" s="19"/>
      <c r="R174" s="19"/>
      <c r="S174" s="19"/>
      <c r="T174" s="19"/>
      <c r="U174" s="19"/>
      <c r="V174" s="19"/>
      <c r="W174" s="20" t="s">
        <v>1</v>
      </c>
      <c r="X174" s="20"/>
      <c r="Y174" s="20"/>
      <c r="Z174" s="20"/>
      <c r="AA174" s="3"/>
      <c r="AB174" s="8"/>
    </row>
    <row r="175" spans="1:28" ht="15" customHeight="1" x14ac:dyDescent="0.25">
      <c r="A175" s="21" t="s">
        <v>3</v>
      </c>
      <c r="B175" s="21"/>
      <c r="C175" s="19"/>
      <c r="D175" s="19"/>
      <c r="E175" s="19"/>
      <c r="F175" s="19"/>
      <c r="G175" s="19"/>
      <c r="H175" s="19"/>
      <c r="I175" s="20"/>
      <c r="J175" s="20"/>
      <c r="K175" s="20"/>
      <c r="L175" s="20"/>
      <c r="M175" s="3"/>
      <c r="N175" s="8"/>
      <c r="O175" s="21" t="s">
        <v>3</v>
      </c>
      <c r="P175" s="21"/>
      <c r="Q175" s="19"/>
      <c r="R175" s="19"/>
      <c r="S175" s="19"/>
      <c r="T175" s="19"/>
      <c r="U175" s="19"/>
      <c r="V175" s="19"/>
      <c r="W175" s="20"/>
      <c r="X175" s="20"/>
      <c r="Y175" s="20"/>
      <c r="Z175" s="20"/>
      <c r="AA175" s="3"/>
      <c r="AB175" s="8"/>
    </row>
    <row r="176" spans="1:28" x14ac:dyDescent="0.25">
      <c r="A176" s="4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9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9"/>
    </row>
    <row r="177" spans="1:28" ht="15" customHeight="1" x14ac:dyDescent="0.45">
      <c r="A177" s="15">
        <f ca="1">TODAY()</f>
        <v>42945</v>
      </c>
      <c r="B177" s="16"/>
      <c r="C177" s="16"/>
      <c r="D177" s="6"/>
      <c r="E177" s="6"/>
      <c r="F177" s="6"/>
      <c r="G177" s="6"/>
      <c r="H177" s="7"/>
      <c r="I177" s="17" t="s">
        <v>0</v>
      </c>
      <c r="J177" s="17"/>
      <c r="K177" s="11"/>
      <c r="L177" s="11"/>
      <c r="M177" s="11"/>
      <c r="N177" s="6"/>
      <c r="O177" s="15">
        <f ca="1">TODAY()</f>
        <v>42945</v>
      </c>
      <c r="P177" s="16"/>
      <c r="Q177" s="16"/>
      <c r="R177" s="6"/>
      <c r="S177" s="6"/>
      <c r="T177" s="6"/>
      <c r="U177" s="6"/>
      <c r="V177" s="7"/>
      <c r="W177" s="17" t="s">
        <v>0</v>
      </c>
      <c r="X177" s="17"/>
      <c r="Y177" s="11"/>
      <c r="Z177" s="11"/>
      <c r="AA177" s="11"/>
      <c r="AB177" s="6"/>
    </row>
    <row r="178" spans="1:28" x14ac:dyDescent="0.25">
      <c r="A178" s="2"/>
      <c r="B178" s="3"/>
      <c r="C178" s="3"/>
      <c r="D178" s="3"/>
      <c r="E178" s="3"/>
      <c r="F178" s="3"/>
      <c r="G178" s="3"/>
      <c r="H178" s="3"/>
      <c r="I178" s="3"/>
      <c r="J178" s="3"/>
      <c r="K178" s="3" t="str">
        <f>EncodeBarcode(1,K177,K177,50,1,0,2)</f>
        <v/>
      </c>
      <c r="L178" s="3"/>
      <c r="M178" s="3"/>
      <c r="N178" s="3"/>
      <c r="O178" s="2"/>
      <c r="P178" s="3"/>
      <c r="Q178" s="3"/>
      <c r="R178" s="3"/>
      <c r="S178" s="3"/>
      <c r="T178" s="3"/>
      <c r="U178" s="3"/>
      <c r="V178" s="3"/>
      <c r="W178" s="3"/>
      <c r="X178" s="3"/>
      <c r="Y178" s="3" t="str">
        <f>EncodeBarcode(1,Y177,Y177,50,1,0,2)</f>
        <v/>
      </c>
      <c r="Z178" s="3"/>
      <c r="AA178" s="3"/>
      <c r="AB178" s="3"/>
    </row>
    <row r="179" spans="1:28" ht="15" customHeight="1" x14ac:dyDescent="0.25">
      <c r="A179" s="12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4"/>
      <c r="O179" s="12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4"/>
    </row>
    <row r="180" spans="1:28" ht="15" customHeight="1" x14ac:dyDescent="0.25">
      <c r="A180" s="12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4"/>
      <c r="O180" s="12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4"/>
    </row>
    <row r="181" spans="1:28" ht="15" customHeight="1" x14ac:dyDescent="0.25">
      <c r="A181" s="12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4"/>
      <c r="O181" s="12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4"/>
    </row>
    <row r="182" spans="1:28" ht="15" customHeight="1" x14ac:dyDescent="0.25">
      <c r="A182" s="12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4"/>
      <c r="O182" s="12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4"/>
    </row>
    <row r="183" spans="1:28" ht="15" customHeight="1" x14ac:dyDescent="0.25">
      <c r="A183" s="12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4"/>
      <c r="O183" s="12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4"/>
    </row>
    <row r="184" spans="1:28" x14ac:dyDescent="0.25">
      <c r="A184" s="2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8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8"/>
    </row>
    <row r="185" spans="1:28" ht="15" customHeight="1" x14ac:dyDescent="0.25">
      <c r="A185" s="18" t="s">
        <v>2</v>
      </c>
      <c r="B185" s="18"/>
      <c r="C185" s="19"/>
      <c r="D185" s="19"/>
      <c r="E185" s="19"/>
      <c r="F185" s="19"/>
      <c r="G185" s="19"/>
      <c r="H185" s="19"/>
      <c r="I185" s="20" t="s">
        <v>1</v>
      </c>
      <c r="J185" s="20"/>
      <c r="K185" s="20"/>
      <c r="L185" s="20"/>
      <c r="M185" s="3"/>
      <c r="N185" s="8"/>
      <c r="O185" s="18" t="s">
        <v>2</v>
      </c>
      <c r="P185" s="18"/>
      <c r="Q185" s="19"/>
      <c r="R185" s="19"/>
      <c r="S185" s="19"/>
      <c r="T185" s="19"/>
      <c r="U185" s="19"/>
      <c r="V185" s="19"/>
      <c r="W185" s="20" t="s">
        <v>1</v>
      </c>
      <c r="X185" s="20"/>
      <c r="Y185" s="20"/>
      <c r="Z185" s="20"/>
      <c r="AA185" s="3"/>
      <c r="AB185" s="8"/>
    </row>
    <row r="186" spans="1:28" ht="15" customHeight="1" x14ac:dyDescent="0.25">
      <c r="A186" s="21" t="s">
        <v>3</v>
      </c>
      <c r="B186" s="21"/>
      <c r="C186" s="19"/>
      <c r="D186" s="19"/>
      <c r="E186" s="19"/>
      <c r="F186" s="19"/>
      <c r="G186" s="19"/>
      <c r="H186" s="19"/>
      <c r="I186" s="20"/>
      <c r="J186" s="20"/>
      <c r="K186" s="20"/>
      <c r="L186" s="20"/>
      <c r="M186" s="3"/>
      <c r="N186" s="8"/>
      <c r="O186" s="21" t="s">
        <v>3</v>
      </c>
      <c r="P186" s="21"/>
      <c r="Q186" s="19"/>
      <c r="R186" s="19"/>
      <c r="S186" s="19"/>
      <c r="T186" s="19"/>
      <c r="U186" s="19"/>
      <c r="V186" s="19"/>
      <c r="W186" s="20"/>
      <c r="X186" s="20"/>
      <c r="Y186" s="20"/>
      <c r="Z186" s="20"/>
      <c r="AA186" s="3"/>
      <c r="AB186" s="8"/>
    </row>
    <row r="187" spans="1:28" x14ac:dyDescent="0.25">
      <c r="A187" s="4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9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9"/>
    </row>
    <row r="188" spans="1:28" ht="15" customHeight="1" x14ac:dyDescent="0.45">
      <c r="A188" s="15">
        <f ca="1">TODAY()</f>
        <v>42945</v>
      </c>
      <c r="B188" s="16"/>
      <c r="C188" s="16"/>
      <c r="D188" s="6"/>
      <c r="E188" s="6"/>
      <c r="F188" s="6"/>
      <c r="G188" s="6"/>
      <c r="H188" s="7"/>
      <c r="I188" s="17" t="s">
        <v>0</v>
      </c>
      <c r="J188" s="17"/>
      <c r="K188" s="11"/>
      <c r="L188" s="11"/>
      <c r="M188" s="11"/>
      <c r="N188" s="6"/>
      <c r="O188" s="15">
        <f ca="1">TODAY()</f>
        <v>42945</v>
      </c>
      <c r="P188" s="16"/>
      <c r="Q188" s="16"/>
      <c r="R188" s="6"/>
      <c r="S188" s="6"/>
      <c r="T188" s="6"/>
      <c r="U188" s="6"/>
      <c r="V188" s="7"/>
      <c r="W188" s="17" t="s">
        <v>0</v>
      </c>
      <c r="X188" s="17"/>
      <c r="Y188" s="11"/>
      <c r="Z188" s="11"/>
      <c r="AA188" s="11"/>
      <c r="AB188" s="6"/>
    </row>
    <row r="189" spans="1:28" x14ac:dyDescent="0.25">
      <c r="A189" s="2"/>
      <c r="B189" s="3"/>
      <c r="C189" s="3"/>
      <c r="D189" s="3"/>
      <c r="E189" s="3"/>
      <c r="F189" s="3"/>
      <c r="G189" s="3"/>
      <c r="H189" s="3"/>
      <c r="I189" s="3"/>
      <c r="J189" s="3"/>
      <c r="K189" s="3" t="str">
        <f>EncodeBarcode(1,K188,K188,50,1,0,2)</f>
        <v/>
      </c>
      <c r="L189" s="3"/>
      <c r="M189" s="3"/>
      <c r="N189" s="3"/>
      <c r="O189" s="2"/>
      <c r="P189" s="3"/>
      <c r="Q189" s="3"/>
      <c r="R189" s="3"/>
      <c r="S189" s="3"/>
      <c r="T189" s="3"/>
      <c r="U189" s="3"/>
      <c r="V189" s="3"/>
      <c r="W189" s="3"/>
      <c r="X189" s="3"/>
      <c r="Y189" s="3" t="str">
        <f>EncodeBarcode(1,Y188,Y188,50,1,0,2)</f>
        <v/>
      </c>
      <c r="Z189" s="3"/>
      <c r="AA189" s="3"/>
      <c r="AB189" s="3"/>
    </row>
    <row r="190" spans="1:28" ht="15" customHeight="1" x14ac:dyDescent="0.25">
      <c r="A190" s="12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4"/>
      <c r="O190" s="12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4"/>
    </row>
    <row r="191" spans="1:28" ht="15" customHeight="1" x14ac:dyDescent="0.25">
      <c r="A191" s="12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4"/>
      <c r="O191" s="12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4"/>
    </row>
    <row r="192" spans="1:28" ht="15" customHeight="1" x14ac:dyDescent="0.25">
      <c r="A192" s="12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4"/>
      <c r="O192" s="12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4"/>
    </row>
    <row r="193" spans="1:28" ht="15" customHeight="1" x14ac:dyDescent="0.25">
      <c r="A193" s="12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4"/>
      <c r="O193" s="12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4"/>
    </row>
    <row r="194" spans="1:28" ht="15" customHeight="1" x14ac:dyDescent="0.25">
      <c r="A194" s="12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4"/>
      <c r="O194" s="12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4"/>
    </row>
    <row r="195" spans="1:28" x14ac:dyDescent="0.25">
      <c r="A195" s="2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8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8"/>
    </row>
    <row r="196" spans="1:28" ht="15" customHeight="1" x14ac:dyDescent="0.25">
      <c r="A196" s="18" t="s">
        <v>2</v>
      </c>
      <c r="B196" s="18"/>
      <c r="C196" s="19"/>
      <c r="D196" s="19"/>
      <c r="E196" s="19"/>
      <c r="F196" s="19"/>
      <c r="G196" s="19"/>
      <c r="H196" s="19"/>
      <c r="I196" s="20" t="s">
        <v>1</v>
      </c>
      <c r="J196" s="20"/>
      <c r="K196" s="20"/>
      <c r="L196" s="20"/>
      <c r="M196" s="3"/>
      <c r="N196" s="8"/>
      <c r="O196" s="18" t="s">
        <v>2</v>
      </c>
      <c r="P196" s="18"/>
      <c r="Q196" s="19"/>
      <c r="R196" s="19"/>
      <c r="S196" s="19"/>
      <c r="T196" s="19"/>
      <c r="U196" s="19"/>
      <c r="V196" s="19"/>
      <c r="W196" s="20" t="s">
        <v>1</v>
      </c>
      <c r="X196" s="20"/>
      <c r="Y196" s="20"/>
      <c r="Z196" s="20"/>
      <c r="AA196" s="3"/>
      <c r="AB196" s="8"/>
    </row>
    <row r="197" spans="1:28" ht="15" customHeight="1" x14ac:dyDescent="0.25">
      <c r="A197" s="21" t="s">
        <v>3</v>
      </c>
      <c r="B197" s="21"/>
      <c r="C197" s="19"/>
      <c r="D197" s="19"/>
      <c r="E197" s="19"/>
      <c r="F197" s="19"/>
      <c r="G197" s="19"/>
      <c r="H197" s="19"/>
      <c r="I197" s="20"/>
      <c r="J197" s="20"/>
      <c r="K197" s="20"/>
      <c r="L197" s="20"/>
      <c r="M197" s="3"/>
      <c r="N197" s="8"/>
      <c r="O197" s="21" t="s">
        <v>3</v>
      </c>
      <c r="P197" s="21"/>
      <c r="Q197" s="19"/>
      <c r="R197" s="19"/>
      <c r="S197" s="19"/>
      <c r="T197" s="19"/>
      <c r="U197" s="19"/>
      <c r="V197" s="19"/>
      <c r="W197" s="20"/>
      <c r="X197" s="20"/>
      <c r="Y197" s="20"/>
      <c r="Z197" s="20"/>
      <c r="AA197" s="3"/>
      <c r="AB197" s="8"/>
    </row>
    <row r="198" spans="1:28" x14ac:dyDescent="0.25">
      <c r="A198" s="4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9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9"/>
    </row>
    <row r="199" spans="1:28" ht="15" customHeight="1" x14ac:dyDescent="0.45">
      <c r="A199" s="15">
        <f ca="1">TODAY()</f>
        <v>42945</v>
      </c>
      <c r="B199" s="16"/>
      <c r="C199" s="16"/>
      <c r="D199" s="6"/>
      <c r="E199" s="6"/>
      <c r="F199" s="6"/>
      <c r="G199" s="6"/>
      <c r="H199" s="7"/>
      <c r="I199" s="17" t="s">
        <v>0</v>
      </c>
      <c r="J199" s="17"/>
      <c r="K199" s="11"/>
      <c r="L199" s="11"/>
      <c r="M199" s="11"/>
      <c r="N199" s="6"/>
      <c r="O199" s="15">
        <f ca="1">TODAY()</f>
        <v>42945</v>
      </c>
      <c r="P199" s="16"/>
      <c r="Q199" s="16"/>
      <c r="R199" s="6"/>
      <c r="S199" s="6"/>
      <c r="T199" s="6"/>
      <c r="U199" s="6"/>
      <c r="V199" s="7"/>
      <c r="W199" s="17" t="s">
        <v>0</v>
      </c>
      <c r="X199" s="17"/>
      <c r="Y199" s="11"/>
      <c r="Z199" s="11"/>
      <c r="AA199" s="11"/>
      <c r="AB199" s="6"/>
    </row>
    <row r="200" spans="1:28" x14ac:dyDescent="0.25">
      <c r="A200" s="2"/>
      <c r="B200" s="3"/>
      <c r="C200" s="3"/>
      <c r="D200" s="3"/>
      <c r="E200" s="3"/>
      <c r="F200" s="3"/>
      <c r="G200" s="3"/>
      <c r="H200" s="3"/>
      <c r="I200" s="3"/>
      <c r="J200" s="3"/>
      <c r="K200" s="3" t="str">
        <f>EncodeBarcode(1,K199,K199,50,1,0,2)</f>
        <v/>
      </c>
      <c r="L200" s="3"/>
      <c r="M200" s="3"/>
      <c r="N200" s="3"/>
      <c r="O200" s="2"/>
      <c r="P200" s="3"/>
      <c r="Q200" s="3"/>
      <c r="R200" s="3"/>
      <c r="S200" s="3"/>
      <c r="T200" s="3"/>
      <c r="U200" s="3"/>
      <c r="V200" s="3"/>
      <c r="W200" s="3"/>
      <c r="X200" s="3"/>
      <c r="Y200" s="3" t="str">
        <f>EncodeBarcode(1,Y199,Y199,50,1,0,2)</f>
        <v/>
      </c>
      <c r="Z200" s="3"/>
      <c r="AA200" s="3"/>
      <c r="AB200" s="3"/>
    </row>
    <row r="201" spans="1:28" ht="15" customHeight="1" x14ac:dyDescent="0.25">
      <c r="A201" s="12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4"/>
      <c r="O201" s="12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4"/>
    </row>
    <row r="202" spans="1:28" ht="15" customHeight="1" x14ac:dyDescent="0.25">
      <c r="A202" s="12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4"/>
      <c r="O202" s="12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4"/>
    </row>
    <row r="203" spans="1:28" ht="15" customHeight="1" x14ac:dyDescent="0.25">
      <c r="A203" s="12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4"/>
      <c r="O203" s="12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4"/>
    </row>
    <row r="204" spans="1:28" ht="15" customHeight="1" x14ac:dyDescent="0.25">
      <c r="A204" s="12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4"/>
      <c r="O204" s="12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4"/>
    </row>
    <row r="205" spans="1:28" ht="15" customHeight="1" x14ac:dyDescent="0.25">
      <c r="A205" s="12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4"/>
      <c r="O205" s="12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4"/>
    </row>
    <row r="206" spans="1:28" x14ac:dyDescent="0.25">
      <c r="A206" s="2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8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8"/>
    </row>
    <row r="207" spans="1:28" ht="15" customHeight="1" x14ac:dyDescent="0.25">
      <c r="A207" s="18" t="s">
        <v>2</v>
      </c>
      <c r="B207" s="18"/>
      <c r="C207" s="19"/>
      <c r="D207" s="19"/>
      <c r="E207" s="19"/>
      <c r="F207" s="19"/>
      <c r="G207" s="19"/>
      <c r="H207" s="19"/>
      <c r="I207" s="20" t="s">
        <v>1</v>
      </c>
      <c r="J207" s="20"/>
      <c r="K207" s="20"/>
      <c r="L207" s="20"/>
      <c r="M207" s="3"/>
      <c r="N207" s="8"/>
      <c r="O207" s="18" t="s">
        <v>2</v>
      </c>
      <c r="P207" s="18"/>
      <c r="Q207" s="19"/>
      <c r="R207" s="19"/>
      <c r="S207" s="19"/>
      <c r="T207" s="19"/>
      <c r="U207" s="19"/>
      <c r="V207" s="19"/>
      <c r="W207" s="20" t="s">
        <v>1</v>
      </c>
      <c r="X207" s="20"/>
      <c r="Y207" s="20"/>
      <c r="Z207" s="20"/>
      <c r="AA207" s="3"/>
      <c r="AB207" s="8"/>
    </row>
    <row r="208" spans="1:28" ht="15" customHeight="1" x14ac:dyDescent="0.25">
      <c r="A208" s="21" t="s">
        <v>3</v>
      </c>
      <c r="B208" s="21"/>
      <c r="C208" s="19"/>
      <c r="D208" s="19"/>
      <c r="E208" s="19"/>
      <c r="F208" s="19"/>
      <c r="G208" s="19"/>
      <c r="H208" s="19"/>
      <c r="I208" s="20"/>
      <c r="J208" s="20"/>
      <c r="K208" s="20"/>
      <c r="L208" s="20"/>
      <c r="M208" s="3"/>
      <c r="N208" s="8"/>
      <c r="O208" s="21" t="s">
        <v>3</v>
      </c>
      <c r="P208" s="21"/>
      <c r="Q208" s="19"/>
      <c r="R208" s="19"/>
      <c r="S208" s="19"/>
      <c r="T208" s="19"/>
      <c r="U208" s="19"/>
      <c r="V208" s="19"/>
      <c r="W208" s="20"/>
      <c r="X208" s="20"/>
      <c r="Y208" s="20"/>
      <c r="Z208" s="20"/>
      <c r="AA208" s="3"/>
      <c r="AB208" s="8"/>
    </row>
    <row r="209" spans="1:28" x14ac:dyDescent="0.25">
      <c r="A209" s="4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9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9"/>
    </row>
    <row r="210" spans="1:28" ht="15" customHeight="1" x14ac:dyDescent="0.45">
      <c r="A210" s="15">
        <f ca="1">TODAY()</f>
        <v>42945</v>
      </c>
      <c r="B210" s="16"/>
      <c r="C210" s="16"/>
      <c r="D210" s="6"/>
      <c r="E210" s="6"/>
      <c r="F210" s="6"/>
      <c r="G210" s="6"/>
      <c r="H210" s="7"/>
      <c r="I210" s="17" t="s">
        <v>0</v>
      </c>
      <c r="J210" s="17"/>
      <c r="K210" s="11"/>
      <c r="L210" s="11"/>
      <c r="M210" s="11"/>
      <c r="N210" s="6"/>
      <c r="O210" s="15">
        <f ca="1">TODAY()</f>
        <v>42945</v>
      </c>
      <c r="P210" s="16"/>
      <c r="Q210" s="16"/>
      <c r="R210" s="6"/>
      <c r="S210" s="6"/>
      <c r="T210" s="6"/>
      <c r="U210" s="6"/>
      <c r="V210" s="7"/>
      <c r="W210" s="17" t="s">
        <v>0</v>
      </c>
      <c r="X210" s="17"/>
      <c r="Y210" s="11"/>
      <c r="Z210" s="11"/>
      <c r="AA210" s="11"/>
      <c r="AB210" s="6"/>
    </row>
    <row r="211" spans="1:28" x14ac:dyDescent="0.25">
      <c r="A211" s="2"/>
      <c r="B211" s="3"/>
      <c r="C211" s="3"/>
      <c r="D211" s="3"/>
      <c r="E211" s="3"/>
      <c r="F211" s="3"/>
      <c r="G211" s="3"/>
      <c r="H211" s="3"/>
      <c r="I211" s="3"/>
      <c r="J211" s="3"/>
      <c r="K211" s="3" t="str">
        <f>EncodeBarcode(1,K210,K210,50,1,0,2)</f>
        <v/>
      </c>
      <c r="L211" s="3"/>
      <c r="M211" s="3"/>
      <c r="N211" s="3"/>
      <c r="O211" s="2"/>
      <c r="P211" s="3"/>
      <c r="Q211" s="3"/>
      <c r="R211" s="3"/>
      <c r="S211" s="3"/>
      <c r="T211" s="3"/>
      <c r="U211" s="3"/>
      <c r="V211" s="3"/>
      <c r="W211" s="3"/>
      <c r="X211" s="3"/>
      <c r="Y211" s="3" t="str">
        <f>EncodeBarcode(1,Y210,Y210,50,1,0,2)</f>
        <v/>
      </c>
      <c r="Z211" s="3"/>
      <c r="AA211" s="3"/>
      <c r="AB211" s="3"/>
    </row>
    <row r="212" spans="1:28" ht="15" customHeight="1" x14ac:dyDescent="0.25">
      <c r="A212" s="12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4"/>
      <c r="O212" s="12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4"/>
    </row>
    <row r="213" spans="1:28" ht="15" customHeight="1" x14ac:dyDescent="0.25">
      <c r="A213" s="12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4"/>
      <c r="O213" s="12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4"/>
    </row>
    <row r="214" spans="1:28" ht="15" customHeight="1" x14ac:dyDescent="0.25">
      <c r="A214" s="12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4"/>
      <c r="O214" s="12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4"/>
    </row>
    <row r="215" spans="1:28" ht="15" customHeight="1" x14ac:dyDescent="0.25">
      <c r="A215" s="12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4"/>
      <c r="O215" s="12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4"/>
    </row>
    <row r="216" spans="1:28" ht="15" customHeight="1" x14ac:dyDescent="0.25">
      <c r="A216" s="12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4"/>
      <c r="O216" s="12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4"/>
    </row>
    <row r="217" spans="1:28" x14ac:dyDescent="0.25">
      <c r="A217" s="2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8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8"/>
    </row>
    <row r="218" spans="1:28" ht="15" customHeight="1" x14ac:dyDescent="0.25">
      <c r="A218" s="18" t="s">
        <v>2</v>
      </c>
      <c r="B218" s="18"/>
      <c r="C218" s="19"/>
      <c r="D218" s="19"/>
      <c r="E218" s="19"/>
      <c r="F218" s="19"/>
      <c r="G218" s="19"/>
      <c r="H218" s="19"/>
      <c r="I218" s="20" t="s">
        <v>1</v>
      </c>
      <c r="J218" s="20"/>
      <c r="K218" s="20"/>
      <c r="L218" s="20"/>
      <c r="M218" s="3"/>
      <c r="N218" s="8"/>
      <c r="O218" s="18" t="s">
        <v>2</v>
      </c>
      <c r="P218" s="18"/>
      <c r="Q218" s="19"/>
      <c r="R218" s="19"/>
      <c r="S218" s="19"/>
      <c r="T218" s="19"/>
      <c r="U218" s="19"/>
      <c r="V218" s="19"/>
      <c r="W218" s="20" t="s">
        <v>1</v>
      </c>
      <c r="X218" s="20"/>
      <c r="Y218" s="20"/>
      <c r="Z218" s="20"/>
      <c r="AA218" s="3"/>
      <c r="AB218" s="8"/>
    </row>
    <row r="219" spans="1:28" ht="15" customHeight="1" x14ac:dyDescent="0.25">
      <c r="A219" s="21" t="s">
        <v>3</v>
      </c>
      <c r="B219" s="21"/>
      <c r="C219" s="19"/>
      <c r="D219" s="19"/>
      <c r="E219" s="19"/>
      <c r="F219" s="19"/>
      <c r="G219" s="19"/>
      <c r="H219" s="19"/>
      <c r="I219" s="20"/>
      <c r="J219" s="20"/>
      <c r="K219" s="20"/>
      <c r="L219" s="20"/>
      <c r="M219" s="3"/>
      <c r="N219" s="8"/>
      <c r="O219" s="21" t="s">
        <v>3</v>
      </c>
      <c r="P219" s="21"/>
      <c r="Q219" s="19"/>
      <c r="R219" s="19"/>
      <c r="S219" s="19"/>
      <c r="T219" s="19"/>
      <c r="U219" s="19"/>
      <c r="V219" s="19"/>
      <c r="W219" s="20"/>
      <c r="X219" s="20"/>
      <c r="Y219" s="20"/>
      <c r="Z219" s="20"/>
      <c r="AA219" s="3"/>
      <c r="AB219" s="8"/>
    </row>
    <row r="220" spans="1:28" x14ac:dyDescent="0.25">
      <c r="A220" s="4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9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9"/>
    </row>
    <row r="221" spans="1:28" ht="15" customHeight="1" x14ac:dyDescent="0.45">
      <c r="A221" s="15">
        <f ca="1">TODAY()</f>
        <v>42945</v>
      </c>
      <c r="B221" s="16"/>
      <c r="C221" s="16"/>
      <c r="D221" s="6"/>
      <c r="E221" s="6"/>
      <c r="F221" s="6"/>
      <c r="G221" s="6"/>
      <c r="H221" s="7"/>
      <c r="I221" s="17" t="s">
        <v>0</v>
      </c>
      <c r="J221" s="17"/>
      <c r="K221" s="11"/>
      <c r="L221" s="11"/>
      <c r="M221" s="11"/>
      <c r="N221" s="6"/>
      <c r="O221" s="15">
        <f ca="1">TODAY()</f>
        <v>42945</v>
      </c>
      <c r="P221" s="16"/>
      <c r="Q221" s="16"/>
      <c r="R221" s="6"/>
      <c r="S221" s="6"/>
      <c r="T221" s="6"/>
      <c r="U221" s="6"/>
      <c r="V221" s="7"/>
      <c r="W221" s="17" t="s">
        <v>0</v>
      </c>
      <c r="X221" s="17"/>
      <c r="Y221" s="11"/>
      <c r="Z221" s="11"/>
      <c r="AA221" s="11"/>
      <c r="AB221" s="6"/>
    </row>
    <row r="222" spans="1:28" x14ac:dyDescent="0.25">
      <c r="A222" s="2"/>
      <c r="B222" s="3"/>
      <c r="C222" s="3"/>
      <c r="D222" s="3"/>
      <c r="E222" s="3"/>
      <c r="F222" s="3"/>
      <c r="G222" s="3"/>
      <c r="H222" s="3"/>
      <c r="I222" s="3"/>
      <c r="J222" s="3"/>
      <c r="K222" s="3" t="str">
        <f>EncodeBarcode(1,K221,K221,50,1,0,2)</f>
        <v/>
      </c>
      <c r="L222" s="3"/>
      <c r="M222" s="3"/>
      <c r="N222" s="3"/>
      <c r="O222" s="2"/>
      <c r="P222" s="3"/>
      <c r="Q222" s="3"/>
      <c r="R222" s="3"/>
      <c r="S222" s="3"/>
      <c r="T222" s="3"/>
      <c r="U222" s="3"/>
      <c r="V222" s="3"/>
      <c r="W222" s="3"/>
      <c r="X222" s="3"/>
      <c r="Y222" s="3" t="str">
        <f>EncodeBarcode(1,Y221,Y221,50,1,0,2)</f>
        <v/>
      </c>
      <c r="Z222" s="3"/>
      <c r="AA222" s="3"/>
      <c r="AB222" s="3"/>
    </row>
    <row r="223" spans="1:28" ht="15" customHeight="1" x14ac:dyDescent="0.25">
      <c r="A223" s="12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4"/>
      <c r="O223" s="12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4"/>
    </row>
    <row r="224" spans="1:28" ht="15" customHeight="1" x14ac:dyDescent="0.25">
      <c r="A224" s="12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4"/>
      <c r="O224" s="12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4"/>
    </row>
    <row r="225" spans="1:28" ht="15" customHeight="1" x14ac:dyDescent="0.25">
      <c r="A225" s="12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4"/>
      <c r="O225" s="12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4"/>
    </row>
    <row r="226" spans="1:28" ht="15" customHeight="1" x14ac:dyDescent="0.25">
      <c r="A226" s="12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4"/>
      <c r="O226" s="12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4"/>
    </row>
    <row r="227" spans="1:28" ht="15" customHeight="1" x14ac:dyDescent="0.25">
      <c r="A227" s="12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4"/>
      <c r="O227" s="12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4"/>
    </row>
    <row r="228" spans="1:28" x14ac:dyDescent="0.25">
      <c r="A228" s="2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8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8"/>
    </row>
    <row r="229" spans="1:28" ht="15" customHeight="1" x14ac:dyDescent="0.25">
      <c r="A229" s="18" t="s">
        <v>2</v>
      </c>
      <c r="B229" s="18"/>
      <c r="C229" s="19"/>
      <c r="D229" s="19"/>
      <c r="E229" s="19"/>
      <c r="F229" s="19"/>
      <c r="G229" s="19"/>
      <c r="H229" s="19"/>
      <c r="I229" s="20" t="s">
        <v>1</v>
      </c>
      <c r="J229" s="20"/>
      <c r="K229" s="20"/>
      <c r="L229" s="20"/>
      <c r="M229" s="3"/>
      <c r="N229" s="8"/>
      <c r="O229" s="18" t="s">
        <v>2</v>
      </c>
      <c r="P229" s="18"/>
      <c r="Q229" s="19"/>
      <c r="R229" s="19"/>
      <c r="S229" s="19"/>
      <c r="T229" s="19"/>
      <c r="U229" s="19"/>
      <c r="V229" s="19"/>
      <c r="W229" s="20" t="s">
        <v>1</v>
      </c>
      <c r="X229" s="20"/>
      <c r="Y229" s="20"/>
      <c r="Z229" s="20"/>
      <c r="AA229" s="3"/>
      <c r="AB229" s="8"/>
    </row>
    <row r="230" spans="1:28" ht="15" customHeight="1" x14ac:dyDescent="0.25">
      <c r="A230" s="21" t="s">
        <v>3</v>
      </c>
      <c r="B230" s="21"/>
      <c r="C230" s="19"/>
      <c r="D230" s="19"/>
      <c r="E230" s="19"/>
      <c r="F230" s="19"/>
      <c r="G230" s="19"/>
      <c r="H230" s="19"/>
      <c r="I230" s="20"/>
      <c r="J230" s="20"/>
      <c r="K230" s="20"/>
      <c r="L230" s="20"/>
      <c r="M230" s="3"/>
      <c r="N230" s="8"/>
      <c r="O230" s="21" t="s">
        <v>3</v>
      </c>
      <c r="P230" s="21"/>
      <c r="Q230" s="19"/>
      <c r="R230" s="19"/>
      <c r="S230" s="19"/>
      <c r="T230" s="19"/>
      <c r="U230" s="19"/>
      <c r="V230" s="19"/>
      <c r="W230" s="20"/>
      <c r="X230" s="20"/>
      <c r="Y230" s="20"/>
      <c r="Z230" s="20"/>
      <c r="AA230" s="3"/>
      <c r="AB230" s="8"/>
    </row>
    <row r="231" spans="1:28" x14ac:dyDescent="0.25">
      <c r="A231" s="4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9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9"/>
    </row>
    <row r="232" spans="1:28" ht="15" customHeight="1" x14ac:dyDescent="0.45">
      <c r="A232" s="15">
        <f ca="1">TODAY()</f>
        <v>42945</v>
      </c>
      <c r="B232" s="16"/>
      <c r="C232" s="16"/>
      <c r="D232" s="6"/>
      <c r="E232" s="6"/>
      <c r="F232" s="6"/>
      <c r="G232" s="6"/>
      <c r="H232" s="7"/>
      <c r="I232" s="17" t="s">
        <v>0</v>
      </c>
      <c r="J232" s="17"/>
      <c r="K232" s="11"/>
      <c r="L232" s="11"/>
      <c r="M232" s="11"/>
      <c r="N232" s="6"/>
      <c r="O232" s="15">
        <f ca="1">TODAY()</f>
        <v>42945</v>
      </c>
      <c r="P232" s="16"/>
      <c r="Q232" s="16"/>
      <c r="R232" s="6"/>
      <c r="S232" s="6"/>
      <c r="T232" s="6"/>
      <c r="U232" s="6"/>
      <c r="V232" s="7"/>
      <c r="W232" s="17" t="s">
        <v>0</v>
      </c>
      <c r="X232" s="17"/>
      <c r="Y232" s="11"/>
      <c r="Z232" s="11"/>
      <c r="AA232" s="11"/>
      <c r="AB232" s="6"/>
    </row>
    <row r="233" spans="1:28" x14ac:dyDescent="0.25">
      <c r="A233" s="2"/>
      <c r="B233" s="3"/>
      <c r="C233" s="3"/>
      <c r="D233" s="3"/>
      <c r="E233" s="3"/>
      <c r="F233" s="3"/>
      <c r="G233" s="3"/>
      <c r="H233" s="3"/>
      <c r="I233" s="3"/>
      <c r="J233" s="3"/>
      <c r="K233" s="3" t="str">
        <f>EncodeBarcode(1,K232,K232,50,1,0,2)</f>
        <v/>
      </c>
      <c r="L233" s="3"/>
      <c r="M233" s="3"/>
      <c r="N233" s="3"/>
      <c r="O233" s="2"/>
      <c r="P233" s="3"/>
      <c r="Q233" s="3"/>
      <c r="R233" s="3"/>
      <c r="S233" s="3"/>
      <c r="T233" s="3"/>
      <c r="U233" s="3"/>
      <c r="V233" s="3"/>
      <c r="W233" s="3"/>
      <c r="X233" s="3"/>
      <c r="Y233" s="3" t="str">
        <f>EncodeBarcode(1,Y232,Y232,50,1,0,2)</f>
        <v/>
      </c>
      <c r="Z233" s="3"/>
      <c r="AA233" s="3"/>
      <c r="AB233" s="3"/>
    </row>
    <row r="234" spans="1:28" ht="15" customHeight="1" x14ac:dyDescent="0.25">
      <c r="A234" s="12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4"/>
      <c r="O234" s="12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4"/>
    </row>
    <row r="235" spans="1:28" ht="15" customHeight="1" x14ac:dyDescent="0.25">
      <c r="A235" s="12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4"/>
      <c r="O235" s="12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4"/>
    </row>
    <row r="236" spans="1:28" ht="15" customHeight="1" x14ac:dyDescent="0.25">
      <c r="A236" s="12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4"/>
      <c r="O236" s="12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4"/>
    </row>
    <row r="237" spans="1:28" ht="15" customHeight="1" x14ac:dyDescent="0.25">
      <c r="A237" s="12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4"/>
      <c r="O237" s="12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4"/>
    </row>
    <row r="238" spans="1:28" ht="15" customHeight="1" x14ac:dyDescent="0.25">
      <c r="A238" s="12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4"/>
      <c r="O238" s="12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4"/>
    </row>
    <row r="239" spans="1:28" x14ac:dyDescent="0.25">
      <c r="A239" s="2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8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8"/>
    </row>
    <row r="240" spans="1:28" ht="15" customHeight="1" x14ac:dyDescent="0.25">
      <c r="A240" s="18" t="s">
        <v>2</v>
      </c>
      <c r="B240" s="18"/>
      <c r="C240" s="19"/>
      <c r="D240" s="19"/>
      <c r="E240" s="19"/>
      <c r="F240" s="19"/>
      <c r="G240" s="19"/>
      <c r="H240" s="19"/>
      <c r="I240" s="20" t="s">
        <v>1</v>
      </c>
      <c r="J240" s="20"/>
      <c r="K240" s="20"/>
      <c r="L240" s="20"/>
      <c r="M240" s="3"/>
      <c r="N240" s="8"/>
      <c r="O240" s="18" t="s">
        <v>2</v>
      </c>
      <c r="P240" s="18"/>
      <c r="Q240" s="19"/>
      <c r="R240" s="19"/>
      <c r="S240" s="19"/>
      <c r="T240" s="19"/>
      <c r="U240" s="19"/>
      <c r="V240" s="19"/>
      <c r="W240" s="20" t="s">
        <v>1</v>
      </c>
      <c r="X240" s="20"/>
      <c r="Y240" s="20"/>
      <c r="Z240" s="20"/>
      <c r="AA240" s="3"/>
      <c r="AB240" s="8"/>
    </row>
    <row r="241" spans="1:28" ht="15" customHeight="1" x14ac:dyDescent="0.25">
      <c r="A241" s="21" t="s">
        <v>3</v>
      </c>
      <c r="B241" s="21"/>
      <c r="C241" s="19"/>
      <c r="D241" s="19"/>
      <c r="E241" s="19"/>
      <c r="F241" s="19"/>
      <c r="G241" s="19"/>
      <c r="H241" s="19"/>
      <c r="I241" s="20"/>
      <c r="J241" s="20"/>
      <c r="K241" s="20"/>
      <c r="L241" s="20"/>
      <c r="M241" s="3"/>
      <c r="N241" s="8"/>
      <c r="O241" s="21" t="s">
        <v>3</v>
      </c>
      <c r="P241" s="21"/>
      <c r="Q241" s="19"/>
      <c r="R241" s="19"/>
      <c r="S241" s="19"/>
      <c r="T241" s="19"/>
      <c r="U241" s="19"/>
      <c r="V241" s="19"/>
      <c r="W241" s="20"/>
      <c r="X241" s="20"/>
      <c r="Y241" s="20"/>
      <c r="Z241" s="20"/>
      <c r="AA241" s="3"/>
      <c r="AB241" s="8"/>
    </row>
    <row r="242" spans="1:28" x14ac:dyDescent="0.25">
      <c r="A242" s="4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9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9"/>
    </row>
    <row r="243" spans="1:28" ht="15" customHeight="1" x14ac:dyDescent="0.45">
      <c r="A243" s="15">
        <f ca="1">TODAY()</f>
        <v>42945</v>
      </c>
      <c r="B243" s="16"/>
      <c r="C243" s="16"/>
      <c r="D243" s="6"/>
      <c r="E243" s="6"/>
      <c r="F243" s="6"/>
      <c r="G243" s="6"/>
      <c r="H243" s="7"/>
      <c r="I243" s="17" t="s">
        <v>0</v>
      </c>
      <c r="J243" s="17"/>
      <c r="K243" s="11"/>
      <c r="L243" s="11"/>
      <c r="M243" s="11"/>
      <c r="N243" s="6"/>
      <c r="O243" s="15">
        <f ca="1">TODAY()</f>
        <v>42945</v>
      </c>
      <c r="P243" s="16"/>
      <c r="Q243" s="16"/>
      <c r="R243" s="6"/>
      <c r="S243" s="6"/>
      <c r="T243" s="6"/>
      <c r="U243" s="6"/>
      <c r="V243" s="7"/>
      <c r="W243" s="17" t="s">
        <v>0</v>
      </c>
      <c r="X243" s="17"/>
      <c r="Y243" s="11"/>
      <c r="Z243" s="11"/>
      <c r="AA243" s="11"/>
      <c r="AB243" s="6"/>
    </row>
    <row r="244" spans="1:28" x14ac:dyDescent="0.25">
      <c r="A244" s="2"/>
      <c r="B244" s="3"/>
      <c r="C244" s="3"/>
      <c r="D244" s="3"/>
      <c r="E244" s="3"/>
      <c r="F244" s="3"/>
      <c r="G244" s="3"/>
      <c r="H244" s="3"/>
      <c r="I244" s="3"/>
      <c r="J244" s="3"/>
      <c r="K244" s="3" t="str">
        <f>EncodeBarcode(1,K243,K243,50,1,0,2)</f>
        <v/>
      </c>
      <c r="L244" s="3"/>
      <c r="M244" s="3"/>
      <c r="N244" s="3"/>
      <c r="O244" s="2"/>
      <c r="P244" s="3"/>
      <c r="Q244" s="3"/>
      <c r="R244" s="3"/>
      <c r="S244" s="3"/>
      <c r="T244" s="3"/>
      <c r="U244" s="3"/>
      <c r="V244" s="3"/>
      <c r="W244" s="3"/>
      <c r="X244" s="3"/>
      <c r="Y244" s="3" t="str">
        <f>EncodeBarcode(1,Y243,Y243,50,1,0,2)</f>
        <v/>
      </c>
      <c r="Z244" s="3"/>
      <c r="AA244" s="3"/>
      <c r="AB244" s="3"/>
    </row>
    <row r="245" spans="1:28" ht="15" customHeight="1" x14ac:dyDescent="0.25">
      <c r="A245" s="12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4"/>
      <c r="O245" s="12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4"/>
    </row>
    <row r="246" spans="1:28" ht="15" customHeight="1" x14ac:dyDescent="0.25">
      <c r="A246" s="12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4"/>
      <c r="O246" s="12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4"/>
    </row>
    <row r="247" spans="1:28" ht="15" customHeight="1" x14ac:dyDescent="0.25">
      <c r="A247" s="12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4"/>
      <c r="O247" s="12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4"/>
    </row>
    <row r="248" spans="1:28" ht="15" customHeight="1" x14ac:dyDescent="0.25">
      <c r="A248" s="12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4"/>
      <c r="O248" s="12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4"/>
    </row>
    <row r="249" spans="1:28" ht="15" customHeight="1" x14ac:dyDescent="0.25">
      <c r="A249" s="12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4"/>
      <c r="O249" s="12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4"/>
    </row>
    <row r="250" spans="1:28" x14ac:dyDescent="0.25">
      <c r="A250" s="2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8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8"/>
    </row>
    <row r="251" spans="1:28" ht="15" customHeight="1" x14ac:dyDescent="0.25">
      <c r="A251" s="18" t="s">
        <v>2</v>
      </c>
      <c r="B251" s="18"/>
      <c r="C251" s="19"/>
      <c r="D251" s="19"/>
      <c r="E251" s="19"/>
      <c r="F251" s="19"/>
      <c r="G251" s="19"/>
      <c r="H251" s="19"/>
      <c r="I251" s="20" t="s">
        <v>1</v>
      </c>
      <c r="J251" s="20"/>
      <c r="K251" s="20"/>
      <c r="L251" s="20"/>
      <c r="M251" s="3"/>
      <c r="N251" s="8"/>
      <c r="O251" s="18" t="s">
        <v>2</v>
      </c>
      <c r="P251" s="18"/>
      <c r="Q251" s="19"/>
      <c r="R251" s="19"/>
      <c r="S251" s="19"/>
      <c r="T251" s="19"/>
      <c r="U251" s="19"/>
      <c r="V251" s="19"/>
      <c r="W251" s="20" t="s">
        <v>1</v>
      </c>
      <c r="X251" s="20"/>
      <c r="Y251" s="20"/>
      <c r="Z251" s="20"/>
      <c r="AA251" s="3"/>
      <c r="AB251" s="8"/>
    </row>
    <row r="252" spans="1:28" ht="15" customHeight="1" x14ac:dyDescent="0.25">
      <c r="A252" s="21" t="s">
        <v>3</v>
      </c>
      <c r="B252" s="21"/>
      <c r="C252" s="19"/>
      <c r="D252" s="19"/>
      <c r="E252" s="19"/>
      <c r="F252" s="19"/>
      <c r="G252" s="19"/>
      <c r="H252" s="19"/>
      <c r="I252" s="20"/>
      <c r="J252" s="20"/>
      <c r="K252" s="20"/>
      <c r="L252" s="20"/>
      <c r="M252" s="3"/>
      <c r="N252" s="8"/>
      <c r="O252" s="21" t="s">
        <v>3</v>
      </c>
      <c r="P252" s="21"/>
      <c r="Q252" s="19"/>
      <c r="R252" s="19"/>
      <c r="S252" s="19"/>
      <c r="T252" s="19"/>
      <c r="U252" s="19"/>
      <c r="V252" s="19"/>
      <c r="W252" s="20"/>
      <c r="X252" s="20"/>
      <c r="Y252" s="20"/>
      <c r="Z252" s="20"/>
      <c r="AA252" s="3"/>
      <c r="AB252" s="8"/>
    </row>
    <row r="253" spans="1:28" x14ac:dyDescent="0.25">
      <c r="A253" s="4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9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9"/>
    </row>
    <row r="254" spans="1:28" ht="15" customHeight="1" x14ac:dyDescent="0.45">
      <c r="A254" s="15">
        <f ca="1">TODAY()</f>
        <v>42945</v>
      </c>
      <c r="B254" s="16"/>
      <c r="C254" s="16"/>
      <c r="D254" s="6"/>
      <c r="E254" s="6"/>
      <c r="F254" s="6"/>
      <c r="G254" s="6"/>
      <c r="H254" s="7"/>
      <c r="I254" s="17" t="s">
        <v>0</v>
      </c>
      <c r="J254" s="17"/>
      <c r="K254" s="11"/>
      <c r="L254" s="11"/>
      <c r="M254" s="11"/>
      <c r="N254" s="6"/>
      <c r="O254" s="15">
        <f ca="1">TODAY()</f>
        <v>42945</v>
      </c>
      <c r="P254" s="16"/>
      <c r="Q254" s="16"/>
      <c r="R254" s="6"/>
      <c r="S254" s="6"/>
      <c r="T254" s="6"/>
      <c r="U254" s="6"/>
      <c r="V254" s="7"/>
      <c r="W254" s="17" t="s">
        <v>0</v>
      </c>
      <c r="X254" s="17"/>
      <c r="Y254" s="11"/>
      <c r="Z254" s="11"/>
      <c r="AA254" s="11"/>
      <c r="AB254" s="6"/>
    </row>
    <row r="255" spans="1:28" x14ac:dyDescent="0.25">
      <c r="A255" s="2"/>
      <c r="B255" s="3"/>
      <c r="C255" s="3"/>
      <c r="D255" s="3"/>
      <c r="E255" s="3"/>
      <c r="F255" s="3"/>
      <c r="G255" s="3"/>
      <c r="H255" s="3"/>
      <c r="I255" s="3"/>
      <c r="J255" s="3"/>
      <c r="K255" s="3" t="str">
        <f>EncodeBarcode(1,K254,K254,50,1,0,2)</f>
        <v/>
      </c>
      <c r="L255" s="3"/>
      <c r="M255" s="3"/>
      <c r="N255" s="3"/>
      <c r="O255" s="2"/>
      <c r="P255" s="3"/>
      <c r="Q255" s="3"/>
      <c r="R255" s="3"/>
      <c r="S255" s="3"/>
      <c r="T255" s="3"/>
      <c r="U255" s="3"/>
      <c r="V255" s="3"/>
      <c r="W255" s="3"/>
      <c r="X255" s="3"/>
      <c r="Y255" s="3" t="str">
        <f>EncodeBarcode(1,Y254,Y254,50,1,0,2)</f>
        <v/>
      </c>
      <c r="Z255" s="3"/>
      <c r="AA255" s="3"/>
      <c r="AB255" s="3"/>
    </row>
    <row r="256" spans="1:28" ht="15" customHeight="1" x14ac:dyDescent="0.25">
      <c r="A256" s="12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4"/>
      <c r="O256" s="12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4"/>
    </row>
    <row r="257" spans="1:28" ht="15" customHeight="1" x14ac:dyDescent="0.25">
      <c r="A257" s="12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4"/>
      <c r="O257" s="12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4"/>
    </row>
    <row r="258" spans="1:28" ht="15" customHeight="1" x14ac:dyDescent="0.25">
      <c r="A258" s="12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4"/>
      <c r="O258" s="12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4"/>
    </row>
    <row r="259" spans="1:28" ht="15" customHeight="1" x14ac:dyDescent="0.25">
      <c r="A259" s="12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4"/>
      <c r="O259" s="12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4"/>
    </row>
    <row r="260" spans="1:28" ht="15" customHeight="1" x14ac:dyDescent="0.25">
      <c r="A260" s="12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4"/>
      <c r="O260" s="12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4"/>
    </row>
    <row r="261" spans="1:28" x14ac:dyDescent="0.25">
      <c r="A261" s="2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8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8"/>
    </row>
    <row r="262" spans="1:28" ht="15" customHeight="1" x14ac:dyDescent="0.25">
      <c r="A262" s="18" t="s">
        <v>2</v>
      </c>
      <c r="B262" s="18"/>
      <c r="C262" s="19"/>
      <c r="D262" s="19"/>
      <c r="E262" s="19"/>
      <c r="F262" s="19"/>
      <c r="G262" s="19"/>
      <c r="H262" s="19"/>
      <c r="I262" s="20" t="s">
        <v>1</v>
      </c>
      <c r="J262" s="20"/>
      <c r="K262" s="20"/>
      <c r="L262" s="20"/>
      <c r="M262" s="3"/>
      <c r="N262" s="8"/>
      <c r="O262" s="18" t="s">
        <v>2</v>
      </c>
      <c r="P262" s="18"/>
      <c r="Q262" s="19"/>
      <c r="R262" s="19"/>
      <c r="S262" s="19"/>
      <c r="T262" s="19"/>
      <c r="U262" s="19"/>
      <c r="V262" s="19"/>
      <c r="W262" s="20" t="s">
        <v>1</v>
      </c>
      <c r="X262" s="20"/>
      <c r="Y262" s="20"/>
      <c r="Z262" s="20"/>
      <c r="AA262" s="3"/>
      <c r="AB262" s="8"/>
    </row>
    <row r="263" spans="1:28" ht="15" customHeight="1" x14ac:dyDescent="0.25">
      <c r="A263" s="21" t="s">
        <v>3</v>
      </c>
      <c r="B263" s="21"/>
      <c r="C263" s="19"/>
      <c r="D263" s="19"/>
      <c r="E263" s="19"/>
      <c r="F263" s="19"/>
      <c r="G263" s="19"/>
      <c r="H263" s="19"/>
      <c r="I263" s="20"/>
      <c r="J263" s="20"/>
      <c r="K263" s="20"/>
      <c r="L263" s="20"/>
      <c r="M263" s="3"/>
      <c r="N263" s="8"/>
      <c r="O263" s="21" t="s">
        <v>3</v>
      </c>
      <c r="P263" s="21"/>
      <c r="Q263" s="19"/>
      <c r="R263" s="19"/>
      <c r="S263" s="19"/>
      <c r="T263" s="19"/>
      <c r="U263" s="19"/>
      <c r="V263" s="19"/>
      <c r="W263" s="20"/>
      <c r="X263" s="20"/>
      <c r="Y263" s="20"/>
      <c r="Z263" s="20"/>
      <c r="AA263" s="3"/>
      <c r="AB263" s="8"/>
    </row>
    <row r="264" spans="1:28" x14ac:dyDescent="0.25">
      <c r="A264" s="4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9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9"/>
    </row>
    <row r="265" spans="1:28" ht="15" customHeight="1" x14ac:dyDescent="0.45">
      <c r="A265" s="15">
        <f ca="1">TODAY()</f>
        <v>42945</v>
      </c>
      <c r="B265" s="16"/>
      <c r="C265" s="16"/>
      <c r="D265" s="6"/>
      <c r="E265" s="6"/>
      <c r="F265" s="6"/>
      <c r="G265" s="6"/>
      <c r="H265" s="7"/>
      <c r="I265" s="17" t="s">
        <v>0</v>
      </c>
      <c r="J265" s="17"/>
      <c r="K265" s="11"/>
      <c r="L265" s="11"/>
      <c r="M265" s="11"/>
      <c r="N265" s="6"/>
      <c r="O265" s="15">
        <f ca="1">TODAY()</f>
        <v>42945</v>
      </c>
      <c r="P265" s="16"/>
      <c r="Q265" s="16"/>
      <c r="R265" s="6"/>
      <c r="S265" s="6"/>
      <c r="T265" s="6"/>
      <c r="U265" s="6"/>
      <c r="V265" s="7"/>
      <c r="W265" s="17" t="s">
        <v>0</v>
      </c>
      <c r="X265" s="17"/>
      <c r="Y265" s="11"/>
      <c r="Z265" s="11"/>
      <c r="AA265" s="11"/>
      <c r="AB265" s="6"/>
    </row>
    <row r="266" spans="1:28" x14ac:dyDescent="0.25">
      <c r="A266" s="2"/>
      <c r="B266" s="3"/>
      <c r="C266" s="3"/>
      <c r="D266" s="3"/>
      <c r="E266" s="3"/>
      <c r="F266" s="3"/>
      <c r="G266" s="3"/>
      <c r="H266" s="3"/>
      <c r="I266" s="3"/>
      <c r="J266" s="3"/>
      <c r="K266" s="3" t="str">
        <f>EncodeBarcode(1,K265,K265,50,1,0,2)</f>
        <v/>
      </c>
      <c r="L266" s="3"/>
      <c r="M266" s="3"/>
      <c r="N266" s="3"/>
      <c r="O266" s="2"/>
      <c r="P266" s="3"/>
      <c r="Q266" s="3"/>
      <c r="R266" s="3"/>
      <c r="S266" s="3"/>
      <c r="T266" s="3"/>
      <c r="U266" s="3"/>
      <c r="V266" s="3"/>
      <c r="W266" s="3"/>
      <c r="X266" s="3"/>
      <c r="Y266" s="3" t="str">
        <f>EncodeBarcode(1,Y265,Y265,50,1,0,2)</f>
        <v/>
      </c>
      <c r="Z266" s="3"/>
      <c r="AA266" s="3"/>
      <c r="AB266" s="3"/>
    </row>
    <row r="267" spans="1:28" ht="15" customHeight="1" x14ac:dyDescent="0.25">
      <c r="A267" s="12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4"/>
      <c r="O267" s="12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4"/>
    </row>
    <row r="268" spans="1:28" ht="15" customHeight="1" x14ac:dyDescent="0.25">
      <c r="A268" s="12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4"/>
      <c r="O268" s="12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4"/>
    </row>
    <row r="269" spans="1:28" ht="15" customHeight="1" x14ac:dyDescent="0.25">
      <c r="A269" s="12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4"/>
      <c r="O269" s="12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4"/>
    </row>
    <row r="270" spans="1:28" ht="15" customHeight="1" x14ac:dyDescent="0.25">
      <c r="A270" s="12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4"/>
      <c r="O270" s="12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4"/>
    </row>
    <row r="271" spans="1:28" ht="15" customHeight="1" x14ac:dyDescent="0.25">
      <c r="A271" s="12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4"/>
      <c r="O271" s="12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4"/>
    </row>
    <row r="272" spans="1:28" x14ac:dyDescent="0.25">
      <c r="A272" s="2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8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8"/>
    </row>
    <row r="273" spans="1:28" ht="15" customHeight="1" x14ac:dyDescent="0.25">
      <c r="A273" s="18" t="s">
        <v>2</v>
      </c>
      <c r="B273" s="18"/>
      <c r="C273" s="19"/>
      <c r="D273" s="19"/>
      <c r="E273" s="19"/>
      <c r="F273" s="19"/>
      <c r="G273" s="19"/>
      <c r="H273" s="19"/>
      <c r="I273" s="20" t="s">
        <v>1</v>
      </c>
      <c r="J273" s="20"/>
      <c r="K273" s="20"/>
      <c r="L273" s="20"/>
      <c r="M273" s="3"/>
      <c r="N273" s="8"/>
      <c r="O273" s="18" t="s">
        <v>2</v>
      </c>
      <c r="P273" s="18"/>
      <c r="Q273" s="19"/>
      <c r="R273" s="19"/>
      <c r="S273" s="19"/>
      <c r="T273" s="19"/>
      <c r="U273" s="19"/>
      <c r="V273" s="19"/>
      <c r="W273" s="20" t="s">
        <v>1</v>
      </c>
      <c r="X273" s="20"/>
      <c r="Y273" s="20"/>
      <c r="Z273" s="20"/>
      <c r="AA273" s="3"/>
      <c r="AB273" s="8"/>
    </row>
    <row r="274" spans="1:28" ht="15" customHeight="1" x14ac:dyDescent="0.25">
      <c r="A274" s="21" t="s">
        <v>3</v>
      </c>
      <c r="B274" s="21"/>
      <c r="C274" s="19"/>
      <c r="D274" s="19"/>
      <c r="E274" s="19"/>
      <c r="F274" s="19"/>
      <c r="G274" s="19"/>
      <c r="H274" s="19"/>
      <c r="I274" s="20"/>
      <c r="J274" s="20"/>
      <c r="K274" s="20"/>
      <c r="L274" s="20"/>
      <c r="M274" s="3"/>
      <c r="N274" s="8"/>
      <c r="O274" s="21" t="s">
        <v>3</v>
      </c>
      <c r="P274" s="21"/>
      <c r="Q274" s="19"/>
      <c r="R274" s="19"/>
      <c r="S274" s="19"/>
      <c r="T274" s="19"/>
      <c r="U274" s="19"/>
      <c r="V274" s="19"/>
      <c r="W274" s="20"/>
      <c r="X274" s="20"/>
      <c r="Y274" s="20"/>
      <c r="Z274" s="20"/>
      <c r="AA274" s="3"/>
      <c r="AB274" s="8"/>
    </row>
    <row r="275" spans="1:28" x14ac:dyDescent="0.25">
      <c r="A275" s="4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9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9"/>
    </row>
    <row r="276" spans="1:28" ht="15" customHeight="1" x14ac:dyDescent="0.45">
      <c r="A276" s="15">
        <f ca="1">TODAY()</f>
        <v>42945</v>
      </c>
      <c r="B276" s="16"/>
      <c r="C276" s="16"/>
      <c r="D276" s="6"/>
      <c r="E276" s="6"/>
      <c r="F276" s="6"/>
      <c r="G276" s="6"/>
      <c r="H276" s="7"/>
      <c r="I276" s="17" t="s">
        <v>0</v>
      </c>
      <c r="J276" s="17"/>
      <c r="K276" s="11"/>
      <c r="L276" s="11"/>
      <c r="M276" s="11"/>
      <c r="N276" s="6"/>
      <c r="O276" s="15">
        <f ca="1">TODAY()</f>
        <v>42945</v>
      </c>
      <c r="P276" s="16"/>
      <c r="Q276" s="16"/>
      <c r="R276" s="6"/>
      <c r="S276" s="6"/>
      <c r="T276" s="6"/>
      <c r="U276" s="6"/>
      <c r="V276" s="7"/>
      <c r="W276" s="17" t="s">
        <v>0</v>
      </c>
      <c r="X276" s="17"/>
      <c r="Y276" s="11"/>
      <c r="Z276" s="11"/>
      <c r="AA276" s="11"/>
      <c r="AB276" s="6"/>
    </row>
    <row r="277" spans="1:28" x14ac:dyDescent="0.25">
      <c r="A277" s="2"/>
      <c r="B277" s="3"/>
      <c r="C277" s="3"/>
      <c r="D277" s="3"/>
      <c r="E277" s="3"/>
      <c r="F277" s="3"/>
      <c r="G277" s="3"/>
      <c r="H277" s="3"/>
      <c r="I277" s="3"/>
      <c r="J277" s="3"/>
      <c r="K277" s="3" t="str">
        <f>EncodeBarcode(1,K276,K276,50,1,0,2)</f>
        <v/>
      </c>
      <c r="L277" s="3"/>
      <c r="M277" s="3"/>
      <c r="N277" s="3"/>
      <c r="O277" s="2"/>
      <c r="P277" s="3"/>
      <c r="Q277" s="3"/>
      <c r="R277" s="3"/>
      <c r="S277" s="3"/>
      <c r="T277" s="3"/>
      <c r="U277" s="3"/>
      <c r="V277" s="3"/>
      <c r="W277" s="3"/>
      <c r="X277" s="3"/>
      <c r="Y277" s="3" t="str">
        <f>EncodeBarcode(1,Y276,Y276,50,1,0,2)</f>
        <v/>
      </c>
      <c r="Z277" s="3"/>
      <c r="AA277" s="3"/>
      <c r="AB277" s="3"/>
    </row>
    <row r="278" spans="1:28" ht="15" customHeight="1" x14ac:dyDescent="0.25">
      <c r="A278" s="12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4"/>
      <c r="O278" s="12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4"/>
    </row>
    <row r="279" spans="1:28" ht="15" customHeight="1" x14ac:dyDescent="0.25">
      <c r="A279" s="12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4"/>
      <c r="O279" s="12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4"/>
    </row>
    <row r="280" spans="1:28" ht="15" customHeight="1" x14ac:dyDescent="0.25">
      <c r="A280" s="12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4"/>
      <c r="O280" s="12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4"/>
    </row>
    <row r="281" spans="1:28" ht="15" customHeight="1" x14ac:dyDescent="0.25">
      <c r="A281" s="12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4"/>
      <c r="O281" s="12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4"/>
    </row>
    <row r="282" spans="1:28" ht="15" customHeight="1" x14ac:dyDescent="0.25">
      <c r="A282" s="12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4"/>
      <c r="O282" s="12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4"/>
    </row>
    <row r="283" spans="1:28" x14ac:dyDescent="0.25">
      <c r="A283" s="2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8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8"/>
    </row>
    <row r="284" spans="1:28" ht="15" customHeight="1" x14ac:dyDescent="0.25">
      <c r="A284" s="18" t="s">
        <v>2</v>
      </c>
      <c r="B284" s="18"/>
      <c r="C284" s="19"/>
      <c r="D284" s="19"/>
      <c r="E284" s="19"/>
      <c r="F284" s="19"/>
      <c r="G284" s="19"/>
      <c r="H284" s="19"/>
      <c r="I284" s="20" t="s">
        <v>1</v>
      </c>
      <c r="J284" s="20"/>
      <c r="K284" s="20"/>
      <c r="L284" s="20"/>
      <c r="M284" s="3"/>
      <c r="N284" s="8"/>
      <c r="O284" s="18" t="s">
        <v>2</v>
      </c>
      <c r="P284" s="18"/>
      <c r="Q284" s="19"/>
      <c r="R284" s="19"/>
      <c r="S284" s="19"/>
      <c r="T284" s="19"/>
      <c r="U284" s="19"/>
      <c r="V284" s="19"/>
      <c r="W284" s="20" t="s">
        <v>1</v>
      </c>
      <c r="X284" s="20"/>
      <c r="Y284" s="20"/>
      <c r="Z284" s="20"/>
      <c r="AA284" s="3"/>
      <c r="AB284" s="8"/>
    </row>
    <row r="285" spans="1:28" ht="15" customHeight="1" x14ac:dyDescent="0.25">
      <c r="A285" s="21" t="s">
        <v>3</v>
      </c>
      <c r="B285" s="21"/>
      <c r="C285" s="19"/>
      <c r="D285" s="19"/>
      <c r="E285" s="19"/>
      <c r="F285" s="19"/>
      <c r="G285" s="19"/>
      <c r="H285" s="19"/>
      <c r="I285" s="20"/>
      <c r="J285" s="20"/>
      <c r="K285" s="20"/>
      <c r="L285" s="20"/>
      <c r="M285" s="3"/>
      <c r="N285" s="8"/>
      <c r="O285" s="21" t="s">
        <v>3</v>
      </c>
      <c r="P285" s="21"/>
      <c r="Q285" s="19"/>
      <c r="R285" s="19"/>
      <c r="S285" s="19"/>
      <c r="T285" s="19"/>
      <c r="U285" s="19"/>
      <c r="V285" s="19"/>
      <c r="W285" s="20"/>
      <c r="X285" s="20"/>
      <c r="Y285" s="20"/>
      <c r="Z285" s="20"/>
      <c r="AA285" s="3"/>
      <c r="AB285" s="8"/>
    </row>
    <row r="286" spans="1:28" x14ac:dyDescent="0.25">
      <c r="A286" s="4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9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9"/>
    </row>
    <row r="287" spans="1:28" ht="15" customHeight="1" x14ac:dyDescent="0.45">
      <c r="A287" s="15">
        <f ca="1">TODAY()</f>
        <v>42945</v>
      </c>
      <c r="B287" s="16"/>
      <c r="C287" s="16"/>
      <c r="D287" s="6"/>
      <c r="E287" s="6"/>
      <c r="F287" s="6"/>
      <c r="G287" s="6"/>
      <c r="H287" s="7"/>
      <c r="I287" s="17" t="s">
        <v>0</v>
      </c>
      <c r="J287" s="17"/>
      <c r="K287" s="11"/>
      <c r="L287" s="11"/>
      <c r="M287" s="11"/>
      <c r="N287" s="6"/>
      <c r="O287" s="15">
        <f ca="1">TODAY()</f>
        <v>42945</v>
      </c>
      <c r="P287" s="16"/>
      <c r="Q287" s="16"/>
      <c r="R287" s="6"/>
      <c r="S287" s="6"/>
      <c r="T287" s="6"/>
      <c r="U287" s="6"/>
      <c r="V287" s="7"/>
      <c r="W287" s="17" t="s">
        <v>0</v>
      </c>
      <c r="X287" s="17"/>
      <c r="Y287" s="11"/>
      <c r="Z287" s="11"/>
      <c r="AA287" s="11"/>
      <c r="AB287" s="6"/>
    </row>
    <row r="288" spans="1:28" x14ac:dyDescent="0.25">
      <c r="A288" s="2"/>
      <c r="B288" s="3"/>
      <c r="C288" s="3"/>
      <c r="D288" s="3"/>
      <c r="E288" s="3"/>
      <c r="F288" s="3"/>
      <c r="G288" s="3"/>
      <c r="H288" s="3"/>
      <c r="I288" s="3"/>
      <c r="J288" s="3"/>
      <c r="K288" s="3" t="str">
        <f>EncodeBarcode(1,K287,K287,50,1,0,2)</f>
        <v/>
      </c>
      <c r="L288" s="3"/>
      <c r="M288" s="3"/>
      <c r="N288" s="3"/>
      <c r="O288" s="2"/>
      <c r="P288" s="3"/>
      <c r="Q288" s="3"/>
      <c r="R288" s="3"/>
      <c r="S288" s="3"/>
      <c r="T288" s="3"/>
      <c r="U288" s="3"/>
      <c r="V288" s="3"/>
      <c r="W288" s="3"/>
      <c r="X288" s="3"/>
      <c r="Y288" s="3" t="str">
        <f>EncodeBarcode(1,Y287,Y287,50,1,0,2)</f>
        <v/>
      </c>
      <c r="Z288" s="3"/>
      <c r="AA288" s="3"/>
      <c r="AB288" s="3"/>
    </row>
    <row r="289" spans="1:28" ht="15" customHeight="1" x14ac:dyDescent="0.25">
      <c r="A289" s="12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4"/>
      <c r="O289" s="12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4"/>
    </row>
    <row r="290" spans="1:28" ht="15" customHeight="1" x14ac:dyDescent="0.25">
      <c r="A290" s="12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4"/>
      <c r="O290" s="12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4"/>
    </row>
    <row r="291" spans="1:28" ht="15" customHeight="1" x14ac:dyDescent="0.25">
      <c r="A291" s="12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4"/>
      <c r="O291" s="12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4"/>
    </row>
    <row r="292" spans="1:28" ht="15" customHeight="1" x14ac:dyDescent="0.25">
      <c r="A292" s="12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4"/>
      <c r="O292" s="12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4"/>
    </row>
    <row r="293" spans="1:28" ht="15" customHeight="1" x14ac:dyDescent="0.25">
      <c r="A293" s="12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4"/>
      <c r="O293" s="12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4"/>
    </row>
    <row r="294" spans="1:28" x14ac:dyDescent="0.25">
      <c r="A294" s="2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8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8"/>
    </row>
    <row r="295" spans="1:28" ht="15" customHeight="1" x14ac:dyDescent="0.25">
      <c r="A295" s="18" t="s">
        <v>2</v>
      </c>
      <c r="B295" s="18"/>
      <c r="C295" s="19"/>
      <c r="D295" s="19"/>
      <c r="E295" s="19"/>
      <c r="F295" s="19"/>
      <c r="G295" s="19"/>
      <c r="H295" s="19"/>
      <c r="I295" s="20" t="s">
        <v>1</v>
      </c>
      <c r="J295" s="20"/>
      <c r="K295" s="20"/>
      <c r="L295" s="20"/>
      <c r="M295" s="3"/>
      <c r="N295" s="8"/>
      <c r="O295" s="18" t="s">
        <v>2</v>
      </c>
      <c r="P295" s="18"/>
      <c r="Q295" s="19"/>
      <c r="R295" s="19"/>
      <c r="S295" s="19"/>
      <c r="T295" s="19"/>
      <c r="U295" s="19"/>
      <c r="V295" s="19"/>
      <c r="W295" s="20" t="s">
        <v>1</v>
      </c>
      <c r="X295" s="20"/>
      <c r="Y295" s="20"/>
      <c r="Z295" s="20"/>
      <c r="AA295" s="3"/>
      <c r="AB295" s="8"/>
    </row>
    <row r="296" spans="1:28" ht="15" customHeight="1" x14ac:dyDescent="0.25">
      <c r="A296" s="21" t="s">
        <v>3</v>
      </c>
      <c r="B296" s="21"/>
      <c r="C296" s="19"/>
      <c r="D296" s="19"/>
      <c r="E296" s="19"/>
      <c r="F296" s="19"/>
      <c r="G296" s="19"/>
      <c r="H296" s="19"/>
      <c r="I296" s="20"/>
      <c r="J296" s="20"/>
      <c r="K296" s="20"/>
      <c r="L296" s="20"/>
      <c r="M296" s="3"/>
      <c r="N296" s="8"/>
      <c r="O296" s="21" t="s">
        <v>3</v>
      </c>
      <c r="P296" s="21"/>
      <c r="Q296" s="19"/>
      <c r="R296" s="19"/>
      <c r="S296" s="19"/>
      <c r="T296" s="19"/>
      <c r="U296" s="19"/>
      <c r="V296" s="19"/>
      <c r="W296" s="20"/>
      <c r="X296" s="20"/>
      <c r="Y296" s="20"/>
      <c r="Z296" s="20"/>
      <c r="AA296" s="3"/>
      <c r="AB296" s="8"/>
    </row>
    <row r="297" spans="1:28" x14ac:dyDescent="0.25">
      <c r="A297" s="4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9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9"/>
    </row>
    <row r="298" spans="1:28" ht="15" customHeight="1" x14ac:dyDescent="0.45">
      <c r="A298" s="15">
        <f ca="1">TODAY()</f>
        <v>42945</v>
      </c>
      <c r="B298" s="16"/>
      <c r="C298" s="16"/>
      <c r="D298" s="6"/>
      <c r="E298" s="6"/>
      <c r="F298" s="6"/>
      <c r="G298" s="6"/>
      <c r="H298" s="7"/>
      <c r="I298" s="17" t="s">
        <v>0</v>
      </c>
      <c r="J298" s="17"/>
      <c r="K298" s="11"/>
      <c r="L298" s="11"/>
      <c r="M298" s="11"/>
      <c r="N298" s="6"/>
      <c r="O298" s="15">
        <f ca="1">TODAY()</f>
        <v>42945</v>
      </c>
      <c r="P298" s="16"/>
      <c r="Q298" s="16"/>
      <c r="R298" s="6"/>
      <c r="S298" s="6"/>
      <c r="T298" s="6"/>
      <c r="U298" s="6"/>
      <c r="V298" s="7"/>
      <c r="W298" s="17" t="s">
        <v>0</v>
      </c>
      <c r="X298" s="17"/>
      <c r="Y298" s="11"/>
      <c r="Z298" s="11"/>
      <c r="AA298" s="11"/>
      <c r="AB298" s="6"/>
    </row>
    <row r="299" spans="1:28" x14ac:dyDescent="0.25">
      <c r="A299" s="2"/>
      <c r="B299" s="3"/>
      <c r="C299" s="3"/>
      <c r="D299" s="3"/>
      <c r="E299" s="3"/>
      <c r="F299" s="3"/>
      <c r="G299" s="3"/>
      <c r="H299" s="3"/>
      <c r="I299" s="3"/>
      <c r="J299" s="3"/>
      <c r="K299" s="3" t="str">
        <f>EncodeBarcode(1,K298,K298,50,1,0,2)</f>
        <v/>
      </c>
      <c r="L299" s="3"/>
      <c r="M299" s="3"/>
      <c r="N299" s="3"/>
      <c r="O299" s="2"/>
      <c r="P299" s="3"/>
      <c r="Q299" s="3"/>
      <c r="R299" s="3"/>
      <c r="S299" s="3"/>
      <c r="T299" s="3"/>
      <c r="U299" s="3"/>
      <c r="V299" s="3"/>
      <c r="W299" s="3"/>
      <c r="X299" s="3"/>
      <c r="Y299" s="3" t="str">
        <f>EncodeBarcode(1,Y298,Y298,50,1,0,2)</f>
        <v/>
      </c>
      <c r="Z299" s="3"/>
      <c r="AA299" s="3"/>
      <c r="AB299" s="3"/>
    </row>
    <row r="300" spans="1:28" ht="15" customHeight="1" x14ac:dyDescent="0.25">
      <c r="A300" s="12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4"/>
      <c r="O300" s="12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4"/>
    </row>
    <row r="301" spans="1:28" ht="15" customHeight="1" x14ac:dyDescent="0.25">
      <c r="A301" s="12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4"/>
      <c r="O301" s="12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4"/>
    </row>
    <row r="302" spans="1:28" ht="15" customHeight="1" x14ac:dyDescent="0.25">
      <c r="A302" s="12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4"/>
      <c r="O302" s="12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4"/>
    </row>
    <row r="303" spans="1:28" ht="15" customHeight="1" x14ac:dyDescent="0.25">
      <c r="A303" s="12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4"/>
      <c r="O303" s="12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4"/>
    </row>
    <row r="304" spans="1:28" ht="15" customHeight="1" x14ac:dyDescent="0.25">
      <c r="A304" s="12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4"/>
      <c r="O304" s="12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4"/>
    </row>
    <row r="305" spans="1:28" x14ac:dyDescent="0.25">
      <c r="A305" s="2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8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8"/>
    </row>
    <row r="306" spans="1:28" ht="15" customHeight="1" x14ac:dyDescent="0.25">
      <c r="A306" s="18" t="s">
        <v>2</v>
      </c>
      <c r="B306" s="18"/>
      <c r="C306" s="19"/>
      <c r="D306" s="19"/>
      <c r="E306" s="19"/>
      <c r="F306" s="19"/>
      <c r="G306" s="19"/>
      <c r="H306" s="19"/>
      <c r="I306" s="20" t="s">
        <v>1</v>
      </c>
      <c r="J306" s="20"/>
      <c r="K306" s="20"/>
      <c r="L306" s="20"/>
      <c r="M306" s="3"/>
      <c r="N306" s="8"/>
      <c r="O306" s="18" t="s">
        <v>2</v>
      </c>
      <c r="P306" s="18"/>
      <c r="Q306" s="19"/>
      <c r="R306" s="19"/>
      <c r="S306" s="19"/>
      <c r="T306" s="19"/>
      <c r="U306" s="19"/>
      <c r="V306" s="19"/>
      <c r="W306" s="20" t="s">
        <v>1</v>
      </c>
      <c r="X306" s="20"/>
      <c r="Y306" s="20"/>
      <c r="Z306" s="20"/>
      <c r="AA306" s="3"/>
      <c r="AB306" s="8"/>
    </row>
    <row r="307" spans="1:28" ht="15" customHeight="1" x14ac:dyDescent="0.25">
      <c r="A307" s="21" t="s">
        <v>3</v>
      </c>
      <c r="B307" s="21"/>
      <c r="C307" s="19"/>
      <c r="D307" s="19"/>
      <c r="E307" s="19"/>
      <c r="F307" s="19"/>
      <c r="G307" s="19"/>
      <c r="H307" s="19"/>
      <c r="I307" s="20"/>
      <c r="J307" s="20"/>
      <c r="K307" s="20"/>
      <c r="L307" s="20"/>
      <c r="M307" s="3"/>
      <c r="N307" s="8"/>
      <c r="O307" s="21" t="s">
        <v>3</v>
      </c>
      <c r="P307" s="21"/>
      <c r="Q307" s="19"/>
      <c r="R307" s="19"/>
      <c r="S307" s="19"/>
      <c r="T307" s="19"/>
      <c r="U307" s="19"/>
      <c r="V307" s="19"/>
      <c r="W307" s="20"/>
      <c r="X307" s="20"/>
      <c r="Y307" s="20"/>
      <c r="Z307" s="20"/>
      <c r="AA307" s="3"/>
      <c r="AB307" s="8"/>
    </row>
    <row r="308" spans="1:28" x14ac:dyDescent="0.25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9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9"/>
    </row>
    <row r="309" spans="1:28" ht="15" customHeight="1" x14ac:dyDescent="0.45">
      <c r="A309" s="15">
        <f ca="1">TODAY()</f>
        <v>42945</v>
      </c>
      <c r="B309" s="16"/>
      <c r="C309" s="16"/>
      <c r="D309" s="6"/>
      <c r="E309" s="6"/>
      <c r="F309" s="6"/>
      <c r="G309" s="6"/>
      <c r="H309" s="7"/>
      <c r="I309" s="17" t="s">
        <v>0</v>
      </c>
      <c r="J309" s="17"/>
      <c r="K309" s="11"/>
      <c r="L309" s="11"/>
      <c r="M309" s="11"/>
      <c r="N309" s="6"/>
      <c r="O309" s="15">
        <f ca="1">TODAY()</f>
        <v>42945</v>
      </c>
      <c r="P309" s="16"/>
      <c r="Q309" s="16"/>
      <c r="R309" s="6"/>
      <c r="S309" s="6"/>
      <c r="T309" s="6"/>
      <c r="U309" s="6"/>
      <c r="V309" s="7"/>
      <c r="W309" s="17" t="s">
        <v>0</v>
      </c>
      <c r="X309" s="17"/>
      <c r="Y309" s="11"/>
      <c r="Z309" s="11"/>
      <c r="AA309" s="11"/>
      <c r="AB309" s="6"/>
    </row>
    <row r="310" spans="1:28" x14ac:dyDescent="0.25">
      <c r="A310" s="2"/>
      <c r="B310" s="3"/>
      <c r="C310" s="3"/>
      <c r="D310" s="3"/>
      <c r="E310" s="3"/>
      <c r="F310" s="3"/>
      <c r="G310" s="3"/>
      <c r="H310" s="3"/>
      <c r="I310" s="3"/>
      <c r="J310" s="3"/>
      <c r="K310" s="3" t="str">
        <f>EncodeBarcode(1,K309,K309,50,1,0,2)</f>
        <v/>
      </c>
      <c r="L310" s="3"/>
      <c r="M310" s="3"/>
      <c r="N310" s="3"/>
      <c r="O310" s="2"/>
      <c r="P310" s="3"/>
      <c r="Q310" s="3"/>
      <c r="R310" s="3"/>
      <c r="S310" s="3"/>
      <c r="T310" s="3"/>
      <c r="U310" s="3"/>
      <c r="V310" s="3"/>
      <c r="W310" s="3"/>
      <c r="X310" s="3"/>
      <c r="Y310" s="3" t="str">
        <f>EncodeBarcode(1,Y309,Y309,50,1,0,2)</f>
        <v/>
      </c>
      <c r="Z310" s="3"/>
      <c r="AA310" s="3"/>
      <c r="AB310" s="3"/>
    </row>
    <row r="311" spans="1:28" ht="15" customHeight="1" x14ac:dyDescent="0.25">
      <c r="A311" s="12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4"/>
      <c r="O311" s="12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4"/>
    </row>
    <row r="312" spans="1:28" ht="15" customHeight="1" x14ac:dyDescent="0.25">
      <c r="A312" s="12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4"/>
      <c r="O312" s="12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4"/>
    </row>
    <row r="313" spans="1:28" ht="15" customHeight="1" x14ac:dyDescent="0.25">
      <c r="A313" s="12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4"/>
      <c r="O313" s="12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4"/>
    </row>
    <row r="314" spans="1:28" ht="15" customHeight="1" x14ac:dyDescent="0.25">
      <c r="A314" s="12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4"/>
      <c r="O314" s="12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4"/>
    </row>
    <row r="315" spans="1:28" ht="15" customHeight="1" x14ac:dyDescent="0.25">
      <c r="A315" s="12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4"/>
      <c r="O315" s="12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4"/>
    </row>
    <row r="316" spans="1:28" x14ac:dyDescent="0.25">
      <c r="A316" s="2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8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8"/>
    </row>
    <row r="317" spans="1:28" ht="15" customHeight="1" x14ac:dyDescent="0.25">
      <c r="A317" s="18" t="s">
        <v>2</v>
      </c>
      <c r="B317" s="18"/>
      <c r="C317" s="19"/>
      <c r="D317" s="19"/>
      <c r="E317" s="19"/>
      <c r="F317" s="19"/>
      <c r="G317" s="19"/>
      <c r="H317" s="19"/>
      <c r="I317" s="20" t="s">
        <v>1</v>
      </c>
      <c r="J317" s="20"/>
      <c r="K317" s="20"/>
      <c r="L317" s="20"/>
      <c r="M317" s="3"/>
      <c r="N317" s="8"/>
      <c r="O317" s="18" t="s">
        <v>2</v>
      </c>
      <c r="P317" s="18"/>
      <c r="Q317" s="19"/>
      <c r="R317" s="19"/>
      <c r="S317" s="19"/>
      <c r="T317" s="19"/>
      <c r="U317" s="19"/>
      <c r="V317" s="19"/>
      <c r="W317" s="20" t="s">
        <v>1</v>
      </c>
      <c r="X317" s="20"/>
      <c r="Y317" s="20"/>
      <c r="Z317" s="20"/>
      <c r="AA317" s="3"/>
      <c r="AB317" s="8"/>
    </row>
    <row r="318" spans="1:28" ht="15" customHeight="1" x14ac:dyDescent="0.25">
      <c r="A318" s="21" t="s">
        <v>3</v>
      </c>
      <c r="B318" s="21"/>
      <c r="C318" s="19"/>
      <c r="D318" s="19"/>
      <c r="E318" s="19"/>
      <c r="F318" s="19"/>
      <c r="G318" s="19"/>
      <c r="H318" s="19"/>
      <c r="I318" s="20"/>
      <c r="J318" s="20"/>
      <c r="K318" s="20"/>
      <c r="L318" s="20"/>
      <c r="M318" s="3"/>
      <c r="N318" s="8"/>
      <c r="O318" s="21" t="s">
        <v>3</v>
      </c>
      <c r="P318" s="21"/>
      <c r="Q318" s="19"/>
      <c r="R318" s="19"/>
      <c r="S318" s="19"/>
      <c r="T318" s="19"/>
      <c r="U318" s="19"/>
      <c r="V318" s="19"/>
      <c r="W318" s="20"/>
      <c r="X318" s="20"/>
      <c r="Y318" s="20"/>
      <c r="Z318" s="20"/>
      <c r="AA318" s="3"/>
      <c r="AB318" s="8"/>
    </row>
    <row r="319" spans="1:28" x14ac:dyDescent="0.25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9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9"/>
    </row>
    <row r="320" spans="1:28" ht="15" customHeight="1" x14ac:dyDescent="0.45">
      <c r="A320" s="15">
        <f ca="1">TODAY()</f>
        <v>42945</v>
      </c>
      <c r="B320" s="16"/>
      <c r="C320" s="16"/>
      <c r="D320" s="6"/>
      <c r="E320" s="6"/>
      <c r="F320" s="6"/>
      <c r="G320" s="6"/>
      <c r="H320" s="7"/>
      <c r="I320" s="17" t="s">
        <v>0</v>
      </c>
      <c r="J320" s="17"/>
      <c r="K320" s="11"/>
      <c r="L320" s="11"/>
      <c r="M320" s="11"/>
      <c r="N320" s="6"/>
      <c r="O320" s="15">
        <f ca="1">TODAY()</f>
        <v>42945</v>
      </c>
      <c r="P320" s="16"/>
      <c r="Q320" s="16"/>
      <c r="R320" s="6"/>
      <c r="S320" s="6"/>
      <c r="T320" s="6"/>
      <c r="U320" s="6"/>
      <c r="V320" s="7"/>
      <c r="W320" s="17" t="s">
        <v>0</v>
      </c>
      <c r="X320" s="17"/>
      <c r="Y320" s="11"/>
      <c r="Z320" s="11"/>
      <c r="AA320" s="11"/>
      <c r="AB320" s="6"/>
    </row>
    <row r="321" spans="1:28" x14ac:dyDescent="0.25">
      <c r="A321" s="2"/>
      <c r="B321" s="3"/>
      <c r="C321" s="3"/>
      <c r="D321" s="3"/>
      <c r="E321" s="3"/>
      <c r="F321" s="3"/>
      <c r="G321" s="3"/>
      <c r="H321" s="3"/>
      <c r="I321" s="3"/>
      <c r="J321" s="3"/>
      <c r="K321" s="3" t="str">
        <f>EncodeBarcode(1,K320,K320,50,1,0,2)</f>
        <v/>
      </c>
      <c r="L321" s="3"/>
      <c r="M321" s="3"/>
      <c r="N321" s="3"/>
      <c r="O321" s="2"/>
      <c r="P321" s="3"/>
      <c r="Q321" s="3"/>
      <c r="R321" s="3"/>
      <c r="S321" s="3"/>
      <c r="T321" s="3"/>
      <c r="U321" s="3"/>
      <c r="V321" s="3"/>
      <c r="W321" s="3"/>
      <c r="X321" s="3"/>
      <c r="Y321" s="3" t="str">
        <f>EncodeBarcode(1,Y320,Y320,50,1,0,2)</f>
        <v/>
      </c>
      <c r="Z321" s="3"/>
      <c r="AA321" s="3"/>
      <c r="AB321" s="3"/>
    </row>
    <row r="322" spans="1:28" ht="15" customHeight="1" x14ac:dyDescent="0.25">
      <c r="A322" s="12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4"/>
      <c r="O322" s="12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4"/>
    </row>
    <row r="323" spans="1:28" ht="15" customHeight="1" x14ac:dyDescent="0.25">
      <c r="A323" s="12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4"/>
      <c r="O323" s="12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4"/>
    </row>
    <row r="324" spans="1:28" ht="15" customHeight="1" x14ac:dyDescent="0.25">
      <c r="A324" s="12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4"/>
      <c r="O324" s="12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4"/>
    </row>
    <row r="325" spans="1:28" ht="15" customHeight="1" x14ac:dyDescent="0.25">
      <c r="A325" s="12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4"/>
      <c r="O325" s="12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4"/>
    </row>
    <row r="326" spans="1:28" ht="15" customHeight="1" x14ac:dyDescent="0.25">
      <c r="A326" s="12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4"/>
      <c r="O326" s="12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4"/>
    </row>
    <row r="327" spans="1:28" x14ac:dyDescent="0.25">
      <c r="A327" s="2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8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8"/>
    </row>
    <row r="328" spans="1:28" ht="15" customHeight="1" x14ac:dyDescent="0.25">
      <c r="A328" s="18" t="s">
        <v>2</v>
      </c>
      <c r="B328" s="18"/>
      <c r="C328" s="19"/>
      <c r="D328" s="19"/>
      <c r="E328" s="19"/>
      <c r="F328" s="19"/>
      <c r="G328" s="19"/>
      <c r="H328" s="19"/>
      <c r="I328" s="20" t="s">
        <v>1</v>
      </c>
      <c r="J328" s="20"/>
      <c r="K328" s="20"/>
      <c r="L328" s="20"/>
      <c r="M328" s="3"/>
      <c r="N328" s="8"/>
      <c r="O328" s="18" t="s">
        <v>2</v>
      </c>
      <c r="P328" s="18"/>
      <c r="Q328" s="19"/>
      <c r="R328" s="19"/>
      <c r="S328" s="19"/>
      <c r="T328" s="19"/>
      <c r="U328" s="19"/>
      <c r="V328" s="19"/>
      <c r="W328" s="20" t="s">
        <v>1</v>
      </c>
      <c r="X328" s="20"/>
      <c r="Y328" s="20"/>
      <c r="Z328" s="20"/>
      <c r="AA328" s="3"/>
      <c r="AB328" s="8"/>
    </row>
    <row r="329" spans="1:28" ht="15" customHeight="1" x14ac:dyDescent="0.25">
      <c r="A329" s="21" t="s">
        <v>3</v>
      </c>
      <c r="B329" s="21"/>
      <c r="C329" s="19"/>
      <c r="D329" s="19"/>
      <c r="E329" s="19"/>
      <c r="F329" s="19"/>
      <c r="G329" s="19"/>
      <c r="H329" s="19"/>
      <c r="I329" s="20"/>
      <c r="J329" s="20"/>
      <c r="K329" s="20"/>
      <c r="L329" s="20"/>
      <c r="M329" s="3"/>
      <c r="N329" s="8"/>
      <c r="O329" s="21" t="s">
        <v>3</v>
      </c>
      <c r="P329" s="21"/>
      <c r="Q329" s="19"/>
      <c r="R329" s="19"/>
      <c r="S329" s="19"/>
      <c r="T329" s="19"/>
      <c r="U329" s="19"/>
      <c r="V329" s="19"/>
      <c r="W329" s="20"/>
      <c r="X329" s="20"/>
      <c r="Y329" s="20"/>
      <c r="Z329" s="20"/>
      <c r="AA329" s="3"/>
      <c r="AB329" s="8"/>
    </row>
    <row r="330" spans="1:28" x14ac:dyDescent="0.25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9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9"/>
    </row>
    <row r="331" spans="1:28" ht="15" customHeight="1" x14ac:dyDescent="0.45">
      <c r="A331" s="15">
        <f ca="1">TODAY()</f>
        <v>42945</v>
      </c>
      <c r="B331" s="16"/>
      <c r="C331" s="16"/>
      <c r="D331" s="6"/>
      <c r="E331" s="6"/>
      <c r="F331" s="6"/>
      <c r="G331" s="6"/>
      <c r="H331" s="7"/>
      <c r="I331" s="17" t="s">
        <v>0</v>
      </c>
      <c r="J331" s="17"/>
      <c r="K331" s="11"/>
      <c r="L331" s="11"/>
      <c r="M331" s="11"/>
      <c r="N331" s="6"/>
      <c r="O331" s="15">
        <f ca="1">TODAY()</f>
        <v>42945</v>
      </c>
      <c r="P331" s="16"/>
      <c r="Q331" s="16"/>
      <c r="R331" s="6"/>
      <c r="S331" s="6"/>
      <c r="T331" s="6"/>
      <c r="U331" s="6"/>
      <c r="V331" s="7"/>
      <c r="W331" s="17" t="s">
        <v>0</v>
      </c>
      <c r="X331" s="17"/>
      <c r="Y331" s="11"/>
      <c r="Z331" s="11"/>
      <c r="AA331" s="11"/>
      <c r="AB331" s="6"/>
    </row>
    <row r="332" spans="1:28" x14ac:dyDescent="0.25">
      <c r="A332" s="2"/>
      <c r="B332" s="3"/>
      <c r="C332" s="3"/>
      <c r="D332" s="3"/>
      <c r="E332" s="3"/>
      <c r="F332" s="3"/>
      <c r="G332" s="3"/>
      <c r="H332" s="3"/>
      <c r="I332" s="3"/>
      <c r="J332" s="3"/>
      <c r="K332" s="3" t="str">
        <f>EncodeBarcode(1,K331,K331,50,1,0,2)</f>
        <v/>
      </c>
      <c r="L332" s="3"/>
      <c r="M332" s="3"/>
      <c r="N332" s="3"/>
      <c r="O332" s="2"/>
      <c r="P332" s="3"/>
      <c r="Q332" s="3"/>
      <c r="R332" s="3"/>
      <c r="S332" s="3"/>
      <c r="T332" s="3"/>
      <c r="U332" s="3"/>
      <c r="V332" s="3"/>
      <c r="W332" s="3"/>
      <c r="X332" s="3"/>
      <c r="Y332" s="3" t="str">
        <f>EncodeBarcode(1,Y331,Y331,50,1,0,2)</f>
        <v/>
      </c>
      <c r="Z332" s="3"/>
      <c r="AA332" s="3"/>
      <c r="AB332" s="3"/>
    </row>
    <row r="333" spans="1:28" ht="15" customHeight="1" x14ac:dyDescent="0.25">
      <c r="A333" s="12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4"/>
      <c r="O333" s="12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4"/>
    </row>
    <row r="334" spans="1:28" ht="15" customHeight="1" x14ac:dyDescent="0.25">
      <c r="A334" s="12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4"/>
      <c r="O334" s="12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4"/>
    </row>
    <row r="335" spans="1:28" ht="15" customHeight="1" x14ac:dyDescent="0.25">
      <c r="A335" s="12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4"/>
      <c r="O335" s="12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4"/>
    </row>
    <row r="336" spans="1:28" ht="15" customHeight="1" x14ac:dyDescent="0.25">
      <c r="A336" s="12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4"/>
      <c r="O336" s="12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4"/>
    </row>
    <row r="337" spans="1:28" ht="15" customHeight="1" x14ac:dyDescent="0.25">
      <c r="A337" s="12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4"/>
      <c r="O337" s="12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4"/>
    </row>
    <row r="338" spans="1:28" x14ac:dyDescent="0.25">
      <c r="A338" s="2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8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8"/>
    </row>
    <row r="339" spans="1:28" ht="15" customHeight="1" x14ac:dyDescent="0.25">
      <c r="A339" s="18" t="s">
        <v>2</v>
      </c>
      <c r="B339" s="18"/>
      <c r="C339" s="19"/>
      <c r="D339" s="19"/>
      <c r="E339" s="19"/>
      <c r="F339" s="19"/>
      <c r="G339" s="19"/>
      <c r="H339" s="19"/>
      <c r="I339" s="20" t="s">
        <v>1</v>
      </c>
      <c r="J339" s="20"/>
      <c r="K339" s="20"/>
      <c r="L339" s="20"/>
      <c r="M339" s="3"/>
      <c r="N339" s="8"/>
      <c r="O339" s="18" t="s">
        <v>2</v>
      </c>
      <c r="P339" s="18"/>
      <c r="Q339" s="19"/>
      <c r="R339" s="19"/>
      <c r="S339" s="19"/>
      <c r="T339" s="19"/>
      <c r="U339" s="19"/>
      <c r="V339" s="19"/>
      <c r="W339" s="20" t="s">
        <v>1</v>
      </c>
      <c r="X339" s="20"/>
      <c r="Y339" s="20"/>
      <c r="Z339" s="20"/>
      <c r="AA339" s="3"/>
      <c r="AB339" s="8"/>
    </row>
    <row r="340" spans="1:28" ht="15" customHeight="1" x14ac:dyDescent="0.25">
      <c r="A340" s="21" t="s">
        <v>3</v>
      </c>
      <c r="B340" s="21"/>
      <c r="C340" s="19"/>
      <c r="D340" s="19"/>
      <c r="E340" s="19"/>
      <c r="F340" s="19"/>
      <c r="G340" s="19"/>
      <c r="H340" s="19"/>
      <c r="I340" s="20"/>
      <c r="J340" s="20"/>
      <c r="K340" s="20"/>
      <c r="L340" s="20"/>
      <c r="M340" s="3"/>
      <c r="N340" s="8"/>
      <c r="O340" s="21" t="s">
        <v>3</v>
      </c>
      <c r="P340" s="21"/>
      <c r="Q340" s="19"/>
      <c r="R340" s="19"/>
      <c r="S340" s="19"/>
      <c r="T340" s="19"/>
      <c r="U340" s="19"/>
      <c r="V340" s="19"/>
      <c r="W340" s="20"/>
      <c r="X340" s="20"/>
      <c r="Y340" s="20"/>
      <c r="Z340" s="20"/>
      <c r="AA340" s="3"/>
      <c r="AB340" s="8"/>
    </row>
    <row r="341" spans="1:28" x14ac:dyDescent="0.25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9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9"/>
    </row>
    <row r="342" spans="1:28" ht="15" customHeight="1" x14ac:dyDescent="0.45">
      <c r="A342" s="15">
        <f ca="1">TODAY()</f>
        <v>42945</v>
      </c>
      <c r="B342" s="16"/>
      <c r="C342" s="16"/>
      <c r="D342" s="6"/>
      <c r="E342" s="6"/>
      <c r="F342" s="6"/>
      <c r="G342" s="6"/>
      <c r="H342" s="7"/>
      <c r="I342" s="17" t="s">
        <v>0</v>
      </c>
      <c r="J342" s="17"/>
      <c r="K342" s="11"/>
      <c r="L342" s="11"/>
      <c r="M342" s="11"/>
      <c r="N342" s="6"/>
      <c r="O342" s="15">
        <f ca="1">TODAY()</f>
        <v>42945</v>
      </c>
      <c r="P342" s="16"/>
      <c r="Q342" s="16"/>
      <c r="R342" s="6"/>
      <c r="S342" s="6"/>
      <c r="T342" s="6"/>
      <c r="U342" s="6"/>
      <c r="V342" s="7"/>
      <c r="W342" s="17" t="s">
        <v>0</v>
      </c>
      <c r="X342" s="17"/>
      <c r="Y342" s="11"/>
      <c r="Z342" s="11"/>
      <c r="AA342" s="11"/>
      <c r="AB342" s="6"/>
    </row>
    <row r="343" spans="1:28" x14ac:dyDescent="0.25">
      <c r="A343" s="2"/>
      <c r="B343" s="3"/>
      <c r="C343" s="3"/>
      <c r="D343" s="3"/>
      <c r="E343" s="3"/>
      <c r="F343" s="3"/>
      <c r="G343" s="3"/>
      <c r="H343" s="3"/>
      <c r="I343" s="3"/>
      <c r="J343" s="3"/>
      <c r="K343" s="3" t="str">
        <f>EncodeBarcode(1,K342,K342,50,1,0,2)</f>
        <v/>
      </c>
      <c r="L343" s="3"/>
      <c r="M343" s="3"/>
      <c r="N343" s="3"/>
      <c r="O343" s="2"/>
      <c r="P343" s="3"/>
      <c r="Q343" s="3"/>
      <c r="R343" s="3"/>
      <c r="S343" s="3"/>
      <c r="T343" s="3"/>
      <c r="U343" s="3"/>
      <c r="V343" s="3"/>
      <c r="W343" s="3"/>
      <c r="X343" s="3"/>
      <c r="Y343" s="3" t="str">
        <f>EncodeBarcode(1,Y342,Y342,50,1,0,2)</f>
        <v/>
      </c>
      <c r="Z343" s="3"/>
      <c r="AA343" s="3"/>
      <c r="AB343" s="3"/>
    </row>
    <row r="344" spans="1:28" ht="15" customHeight="1" x14ac:dyDescent="0.25">
      <c r="A344" s="12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4"/>
      <c r="O344" s="12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4"/>
    </row>
    <row r="345" spans="1:28" ht="15" customHeight="1" x14ac:dyDescent="0.25">
      <c r="A345" s="12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4"/>
      <c r="O345" s="12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4"/>
    </row>
    <row r="346" spans="1:28" ht="15" customHeight="1" x14ac:dyDescent="0.25">
      <c r="A346" s="12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4"/>
      <c r="O346" s="12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4"/>
    </row>
    <row r="347" spans="1:28" ht="15" customHeight="1" x14ac:dyDescent="0.25">
      <c r="A347" s="12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4"/>
      <c r="O347" s="12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4"/>
    </row>
    <row r="348" spans="1:28" ht="15" customHeight="1" x14ac:dyDescent="0.25">
      <c r="A348" s="12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4"/>
      <c r="O348" s="12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4"/>
    </row>
    <row r="349" spans="1:28" x14ac:dyDescent="0.25">
      <c r="A349" s="2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8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8"/>
    </row>
    <row r="350" spans="1:28" ht="15" customHeight="1" x14ac:dyDescent="0.25">
      <c r="A350" s="18" t="s">
        <v>2</v>
      </c>
      <c r="B350" s="18"/>
      <c r="C350" s="19"/>
      <c r="D350" s="19"/>
      <c r="E350" s="19"/>
      <c r="F350" s="19"/>
      <c r="G350" s="19"/>
      <c r="H350" s="19"/>
      <c r="I350" s="20" t="s">
        <v>1</v>
      </c>
      <c r="J350" s="20"/>
      <c r="K350" s="20"/>
      <c r="L350" s="20"/>
      <c r="M350" s="3"/>
      <c r="N350" s="8"/>
      <c r="O350" s="18" t="s">
        <v>2</v>
      </c>
      <c r="P350" s="18"/>
      <c r="Q350" s="19"/>
      <c r="R350" s="19"/>
      <c r="S350" s="19"/>
      <c r="T350" s="19"/>
      <c r="U350" s="19"/>
      <c r="V350" s="19"/>
      <c r="W350" s="20" t="s">
        <v>1</v>
      </c>
      <c r="X350" s="20"/>
      <c r="Y350" s="20"/>
      <c r="Z350" s="20"/>
      <c r="AA350" s="3"/>
      <c r="AB350" s="8"/>
    </row>
    <row r="351" spans="1:28" ht="15" customHeight="1" x14ac:dyDescent="0.25">
      <c r="A351" s="21" t="s">
        <v>3</v>
      </c>
      <c r="B351" s="21"/>
      <c r="C351" s="19"/>
      <c r="D351" s="19"/>
      <c r="E351" s="19"/>
      <c r="F351" s="19"/>
      <c r="G351" s="19"/>
      <c r="H351" s="19"/>
      <c r="I351" s="20"/>
      <c r="J351" s="20"/>
      <c r="K351" s="20"/>
      <c r="L351" s="20"/>
      <c r="M351" s="3"/>
      <c r="N351" s="8"/>
      <c r="O351" s="21" t="s">
        <v>3</v>
      </c>
      <c r="P351" s="21"/>
      <c r="Q351" s="19"/>
      <c r="R351" s="19"/>
      <c r="S351" s="19"/>
      <c r="T351" s="19"/>
      <c r="U351" s="19"/>
      <c r="V351" s="19"/>
      <c r="W351" s="20"/>
      <c r="X351" s="20"/>
      <c r="Y351" s="20"/>
      <c r="Z351" s="20"/>
      <c r="AA351" s="3"/>
      <c r="AB351" s="8"/>
    </row>
    <row r="352" spans="1:28" x14ac:dyDescent="0.25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9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9"/>
    </row>
    <row r="353" spans="1:28" ht="15" customHeight="1" x14ac:dyDescent="0.45">
      <c r="A353" s="15">
        <f ca="1">TODAY()</f>
        <v>42945</v>
      </c>
      <c r="B353" s="16"/>
      <c r="C353" s="16"/>
      <c r="D353" s="6"/>
      <c r="E353" s="6"/>
      <c r="F353" s="6"/>
      <c r="G353" s="6"/>
      <c r="H353" s="7"/>
      <c r="I353" s="17" t="s">
        <v>0</v>
      </c>
      <c r="J353" s="17"/>
      <c r="K353" s="11"/>
      <c r="L353" s="11"/>
      <c r="M353" s="11"/>
      <c r="N353" s="6"/>
      <c r="O353" s="15">
        <f ca="1">TODAY()</f>
        <v>42945</v>
      </c>
      <c r="P353" s="16"/>
      <c r="Q353" s="16"/>
      <c r="R353" s="6"/>
      <c r="S353" s="6"/>
      <c r="T353" s="6"/>
      <c r="U353" s="6"/>
      <c r="V353" s="7"/>
      <c r="W353" s="17" t="s">
        <v>0</v>
      </c>
      <c r="X353" s="17"/>
      <c r="Y353" s="11"/>
      <c r="Z353" s="11"/>
      <c r="AA353" s="11"/>
      <c r="AB353" s="6"/>
    </row>
    <row r="354" spans="1:28" x14ac:dyDescent="0.25">
      <c r="A354" s="2"/>
      <c r="B354" s="3"/>
      <c r="C354" s="3"/>
      <c r="D354" s="3"/>
      <c r="E354" s="3"/>
      <c r="F354" s="3"/>
      <c r="G354" s="3"/>
      <c r="H354" s="3"/>
      <c r="I354" s="3"/>
      <c r="J354" s="3"/>
      <c r="K354" s="3" t="str">
        <f>EncodeBarcode(1,K353,K353,50,1,0,2)</f>
        <v/>
      </c>
      <c r="L354" s="3"/>
      <c r="M354" s="3"/>
      <c r="N354" s="3"/>
      <c r="O354" s="2"/>
      <c r="P354" s="3"/>
      <c r="Q354" s="3"/>
      <c r="R354" s="3"/>
      <c r="S354" s="3"/>
      <c r="T354" s="3"/>
      <c r="U354" s="3"/>
      <c r="V354" s="3"/>
      <c r="W354" s="3"/>
      <c r="X354" s="3"/>
      <c r="Y354" s="3" t="str">
        <f>EncodeBarcode(1,Y353,Y353,50,1,0,2)</f>
        <v/>
      </c>
      <c r="Z354" s="3"/>
      <c r="AA354" s="3"/>
      <c r="AB354" s="3"/>
    </row>
    <row r="355" spans="1:28" ht="15" customHeight="1" x14ac:dyDescent="0.25">
      <c r="A355" s="12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4"/>
      <c r="O355" s="12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4"/>
    </row>
    <row r="356" spans="1:28" ht="15" customHeight="1" x14ac:dyDescent="0.25">
      <c r="A356" s="12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4"/>
      <c r="O356" s="12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4"/>
    </row>
    <row r="357" spans="1:28" ht="15" customHeight="1" x14ac:dyDescent="0.25">
      <c r="A357" s="12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4"/>
      <c r="O357" s="12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4"/>
    </row>
    <row r="358" spans="1:28" ht="15" customHeight="1" x14ac:dyDescent="0.25">
      <c r="A358" s="12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4"/>
      <c r="O358" s="12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4"/>
    </row>
    <row r="359" spans="1:28" ht="15" customHeight="1" x14ac:dyDescent="0.25">
      <c r="A359" s="12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4"/>
      <c r="O359" s="12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4"/>
    </row>
    <row r="360" spans="1:28" x14ac:dyDescent="0.25">
      <c r="A360" s="2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8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8"/>
    </row>
    <row r="361" spans="1:28" ht="15" customHeight="1" x14ac:dyDescent="0.25">
      <c r="A361" s="18" t="s">
        <v>2</v>
      </c>
      <c r="B361" s="18"/>
      <c r="C361" s="19"/>
      <c r="D361" s="19"/>
      <c r="E361" s="19"/>
      <c r="F361" s="19"/>
      <c r="G361" s="19"/>
      <c r="H361" s="19"/>
      <c r="I361" s="20" t="s">
        <v>1</v>
      </c>
      <c r="J361" s="20"/>
      <c r="K361" s="20"/>
      <c r="L361" s="20"/>
      <c r="M361" s="3"/>
      <c r="N361" s="8"/>
      <c r="O361" s="18" t="s">
        <v>2</v>
      </c>
      <c r="P361" s="18"/>
      <c r="Q361" s="19"/>
      <c r="R361" s="19"/>
      <c r="S361" s="19"/>
      <c r="T361" s="19"/>
      <c r="U361" s="19"/>
      <c r="V361" s="19"/>
      <c r="W361" s="20" t="s">
        <v>1</v>
      </c>
      <c r="X361" s="20"/>
      <c r="Y361" s="20"/>
      <c r="Z361" s="20"/>
      <c r="AA361" s="3"/>
      <c r="AB361" s="8"/>
    </row>
    <row r="362" spans="1:28" ht="15" customHeight="1" x14ac:dyDescent="0.25">
      <c r="A362" s="21" t="s">
        <v>3</v>
      </c>
      <c r="B362" s="21"/>
      <c r="C362" s="19"/>
      <c r="D362" s="19"/>
      <c r="E362" s="19"/>
      <c r="F362" s="19"/>
      <c r="G362" s="19"/>
      <c r="H362" s="19"/>
      <c r="I362" s="20"/>
      <c r="J362" s="20"/>
      <c r="K362" s="20"/>
      <c r="L362" s="20"/>
      <c r="M362" s="3"/>
      <c r="N362" s="8"/>
      <c r="O362" s="21" t="s">
        <v>3</v>
      </c>
      <c r="P362" s="21"/>
      <c r="Q362" s="19"/>
      <c r="R362" s="19"/>
      <c r="S362" s="19"/>
      <c r="T362" s="19"/>
      <c r="U362" s="19"/>
      <c r="V362" s="19"/>
      <c r="W362" s="20"/>
      <c r="X362" s="20"/>
      <c r="Y362" s="20"/>
      <c r="Z362" s="20"/>
      <c r="AA362" s="3"/>
      <c r="AB362" s="8"/>
    </row>
    <row r="363" spans="1:28" x14ac:dyDescent="0.25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9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9"/>
    </row>
    <row r="364" spans="1:28" ht="15" customHeight="1" x14ac:dyDescent="0.45">
      <c r="A364" s="15">
        <f ca="1">TODAY()</f>
        <v>42945</v>
      </c>
      <c r="B364" s="16"/>
      <c r="C364" s="16"/>
      <c r="D364" s="6"/>
      <c r="E364" s="6"/>
      <c r="F364" s="6"/>
      <c r="G364" s="6"/>
      <c r="H364" s="7"/>
      <c r="I364" s="17" t="s">
        <v>0</v>
      </c>
      <c r="J364" s="17"/>
      <c r="K364" s="11"/>
      <c r="L364" s="11"/>
      <c r="M364" s="11"/>
      <c r="N364" s="6"/>
      <c r="O364" s="15">
        <f ca="1">TODAY()</f>
        <v>42945</v>
      </c>
      <c r="P364" s="16"/>
      <c r="Q364" s="16"/>
      <c r="R364" s="6"/>
      <c r="S364" s="6"/>
      <c r="T364" s="6"/>
      <c r="U364" s="6"/>
      <c r="V364" s="7"/>
      <c r="W364" s="17" t="s">
        <v>0</v>
      </c>
      <c r="X364" s="17"/>
      <c r="Y364" s="11"/>
      <c r="Z364" s="11"/>
      <c r="AA364" s="11"/>
      <c r="AB364" s="6"/>
    </row>
    <row r="365" spans="1:28" x14ac:dyDescent="0.25">
      <c r="A365" s="2"/>
      <c r="B365" s="3"/>
      <c r="C365" s="3"/>
      <c r="D365" s="3"/>
      <c r="E365" s="3"/>
      <c r="F365" s="3"/>
      <c r="G365" s="3"/>
      <c r="H365" s="3"/>
      <c r="I365" s="3"/>
      <c r="J365" s="3"/>
      <c r="K365" s="3" t="str">
        <f>EncodeBarcode(1,K364,K364,50,1,0,2)</f>
        <v/>
      </c>
      <c r="L365" s="3"/>
      <c r="M365" s="3"/>
      <c r="N365" s="3"/>
      <c r="O365" s="2"/>
      <c r="P365" s="3"/>
      <c r="Q365" s="3"/>
      <c r="R365" s="3"/>
      <c r="S365" s="3"/>
      <c r="T365" s="3"/>
      <c r="U365" s="3"/>
      <c r="V365" s="3"/>
      <c r="W365" s="3"/>
      <c r="X365" s="3"/>
      <c r="Y365" s="3" t="str">
        <f>EncodeBarcode(1,Y364,Y364,50,1,0,2)</f>
        <v/>
      </c>
      <c r="Z365" s="3"/>
      <c r="AA365" s="3"/>
      <c r="AB365" s="3"/>
    </row>
    <row r="366" spans="1:28" ht="15" customHeight="1" x14ac:dyDescent="0.25">
      <c r="A366" s="12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4"/>
      <c r="O366" s="12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4"/>
    </row>
    <row r="367" spans="1:28" ht="15" customHeight="1" x14ac:dyDescent="0.25">
      <c r="A367" s="12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4"/>
      <c r="O367" s="12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4"/>
    </row>
    <row r="368" spans="1:28" ht="15" customHeight="1" x14ac:dyDescent="0.25">
      <c r="A368" s="12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4"/>
      <c r="O368" s="12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4"/>
    </row>
    <row r="369" spans="1:28" ht="15" customHeight="1" x14ac:dyDescent="0.25">
      <c r="A369" s="12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4"/>
      <c r="O369" s="12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4"/>
    </row>
    <row r="370" spans="1:28" ht="15" customHeight="1" x14ac:dyDescent="0.25">
      <c r="A370" s="12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4"/>
      <c r="O370" s="12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4"/>
    </row>
    <row r="371" spans="1:28" x14ac:dyDescent="0.25">
      <c r="A371" s="2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8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8"/>
    </row>
    <row r="372" spans="1:28" ht="15" customHeight="1" x14ac:dyDescent="0.25">
      <c r="A372" s="18" t="s">
        <v>2</v>
      </c>
      <c r="B372" s="18"/>
      <c r="C372" s="19"/>
      <c r="D372" s="19"/>
      <c r="E372" s="19"/>
      <c r="F372" s="19"/>
      <c r="G372" s="19"/>
      <c r="H372" s="19"/>
      <c r="I372" s="20" t="s">
        <v>1</v>
      </c>
      <c r="J372" s="20"/>
      <c r="K372" s="20"/>
      <c r="L372" s="20"/>
      <c r="M372" s="3"/>
      <c r="N372" s="8"/>
      <c r="O372" s="18" t="s">
        <v>2</v>
      </c>
      <c r="P372" s="18"/>
      <c r="Q372" s="19"/>
      <c r="R372" s="19"/>
      <c r="S372" s="19"/>
      <c r="T372" s="19"/>
      <c r="U372" s="19"/>
      <c r="V372" s="19"/>
      <c r="W372" s="20" t="s">
        <v>1</v>
      </c>
      <c r="X372" s="20"/>
      <c r="Y372" s="20"/>
      <c r="Z372" s="20"/>
      <c r="AA372" s="3"/>
      <c r="AB372" s="8"/>
    </row>
    <row r="373" spans="1:28" ht="15" customHeight="1" x14ac:dyDescent="0.25">
      <c r="A373" s="21" t="s">
        <v>3</v>
      </c>
      <c r="B373" s="21"/>
      <c r="C373" s="19"/>
      <c r="D373" s="19"/>
      <c r="E373" s="19"/>
      <c r="F373" s="19"/>
      <c r="G373" s="19"/>
      <c r="H373" s="19"/>
      <c r="I373" s="20"/>
      <c r="J373" s="20"/>
      <c r="K373" s="20"/>
      <c r="L373" s="20"/>
      <c r="M373" s="3"/>
      <c r="N373" s="8"/>
      <c r="O373" s="21" t="s">
        <v>3</v>
      </c>
      <c r="P373" s="21"/>
      <c r="Q373" s="19"/>
      <c r="R373" s="19"/>
      <c r="S373" s="19"/>
      <c r="T373" s="19"/>
      <c r="U373" s="19"/>
      <c r="V373" s="19"/>
      <c r="W373" s="20"/>
      <c r="X373" s="20"/>
      <c r="Y373" s="20"/>
      <c r="Z373" s="20"/>
      <c r="AA373" s="3"/>
      <c r="AB373" s="8"/>
    </row>
    <row r="374" spans="1:28" x14ac:dyDescent="0.25">
      <c r="A374" s="4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9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9"/>
    </row>
    <row r="375" spans="1:28" ht="15" customHeight="1" x14ac:dyDescent="0.45">
      <c r="A375" s="15">
        <f ca="1">TODAY()</f>
        <v>42945</v>
      </c>
      <c r="B375" s="16"/>
      <c r="C375" s="16"/>
      <c r="D375" s="6"/>
      <c r="E375" s="6"/>
      <c r="F375" s="6"/>
      <c r="G375" s="6"/>
      <c r="H375" s="7"/>
      <c r="I375" s="17" t="s">
        <v>0</v>
      </c>
      <c r="J375" s="17"/>
      <c r="K375" s="11"/>
      <c r="L375" s="11"/>
      <c r="M375" s="11"/>
      <c r="N375" s="6"/>
      <c r="O375" s="15">
        <f ca="1">TODAY()</f>
        <v>42945</v>
      </c>
      <c r="P375" s="16"/>
      <c r="Q375" s="16"/>
      <c r="R375" s="6"/>
      <c r="S375" s="6"/>
      <c r="T375" s="6"/>
      <c r="U375" s="6"/>
      <c r="V375" s="7"/>
      <c r="W375" s="17" t="s">
        <v>0</v>
      </c>
      <c r="X375" s="17"/>
      <c r="Y375" s="11"/>
      <c r="Z375" s="11"/>
      <c r="AA375" s="11"/>
      <c r="AB375" s="6"/>
    </row>
    <row r="376" spans="1:28" x14ac:dyDescent="0.25">
      <c r="A376" s="2"/>
      <c r="B376" s="3"/>
      <c r="C376" s="3"/>
      <c r="D376" s="3"/>
      <c r="E376" s="3"/>
      <c r="F376" s="3"/>
      <c r="G376" s="3"/>
      <c r="H376" s="3"/>
      <c r="I376" s="3"/>
      <c r="J376" s="3"/>
      <c r="K376" s="3" t="str">
        <f>EncodeBarcode(1,K375,K375,50,1,0,2)</f>
        <v/>
      </c>
      <c r="L376" s="3"/>
      <c r="M376" s="3"/>
      <c r="N376" s="3"/>
      <c r="O376" s="2"/>
      <c r="P376" s="3"/>
      <c r="Q376" s="3"/>
      <c r="R376" s="3"/>
      <c r="S376" s="3"/>
      <c r="T376" s="3"/>
      <c r="U376" s="3"/>
      <c r="V376" s="3"/>
      <c r="W376" s="3"/>
      <c r="X376" s="3"/>
      <c r="Y376" s="3" t="str">
        <f>EncodeBarcode(1,Y375,Y375,50,1,0,2)</f>
        <v/>
      </c>
      <c r="Z376" s="3"/>
      <c r="AA376" s="3"/>
      <c r="AB376" s="3"/>
    </row>
    <row r="377" spans="1:28" ht="15" customHeight="1" x14ac:dyDescent="0.25">
      <c r="A377" s="12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4"/>
      <c r="O377" s="12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4"/>
    </row>
    <row r="378" spans="1:28" ht="15" customHeight="1" x14ac:dyDescent="0.25">
      <c r="A378" s="12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4"/>
      <c r="O378" s="12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4"/>
    </row>
    <row r="379" spans="1:28" ht="15" customHeight="1" x14ac:dyDescent="0.25">
      <c r="A379" s="12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4"/>
      <c r="O379" s="12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4"/>
    </row>
    <row r="380" spans="1:28" ht="15" customHeight="1" x14ac:dyDescent="0.25">
      <c r="A380" s="12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4"/>
      <c r="O380" s="12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4"/>
    </row>
    <row r="381" spans="1:28" ht="15" customHeight="1" x14ac:dyDescent="0.25">
      <c r="A381" s="12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4"/>
      <c r="O381" s="12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4"/>
    </row>
    <row r="382" spans="1:28" x14ac:dyDescent="0.25">
      <c r="A382" s="2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8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8"/>
    </row>
    <row r="383" spans="1:28" ht="15" customHeight="1" x14ac:dyDescent="0.25">
      <c r="A383" s="18" t="s">
        <v>2</v>
      </c>
      <c r="B383" s="18"/>
      <c r="C383" s="19"/>
      <c r="D383" s="19"/>
      <c r="E383" s="19"/>
      <c r="F383" s="19"/>
      <c r="G383" s="19"/>
      <c r="H383" s="19"/>
      <c r="I383" s="20" t="s">
        <v>1</v>
      </c>
      <c r="J383" s="20"/>
      <c r="K383" s="20"/>
      <c r="L383" s="20"/>
      <c r="M383" s="3"/>
      <c r="N383" s="8"/>
      <c r="O383" s="18" t="s">
        <v>2</v>
      </c>
      <c r="P383" s="18"/>
      <c r="Q383" s="19"/>
      <c r="R383" s="19"/>
      <c r="S383" s="19"/>
      <c r="T383" s="19"/>
      <c r="U383" s="19"/>
      <c r="V383" s="19"/>
      <c r="W383" s="20" t="s">
        <v>1</v>
      </c>
      <c r="X383" s="20"/>
      <c r="Y383" s="20"/>
      <c r="Z383" s="20"/>
      <c r="AA383" s="3"/>
      <c r="AB383" s="8"/>
    </row>
    <row r="384" spans="1:28" ht="15" customHeight="1" x14ac:dyDescent="0.25">
      <c r="A384" s="21" t="s">
        <v>3</v>
      </c>
      <c r="B384" s="21"/>
      <c r="C384" s="19"/>
      <c r="D384" s="19"/>
      <c r="E384" s="19"/>
      <c r="F384" s="19"/>
      <c r="G384" s="19"/>
      <c r="H384" s="19"/>
      <c r="I384" s="20"/>
      <c r="J384" s="20"/>
      <c r="K384" s="20"/>
      <c r="L384" s="20"/>
      <c r="M384" s="3"/>
      <c r="N384" s="8"/>
      <c r="O384" s="21" t="s">
        <v>3</v>
      </c>
      <c r="P384" s="21"/>
      <c r="Q384" s="19"/>
      <c r="R384" s="19"/>
      <c r="S384" s="19"/>
      <c r="T384" s="19"/>
      <c r="U384" s="19"/>
      <c r="V384" s="19"/>
      <c r="W384" s="20"/>
      <c r="X384" s="20"/>
      <c r="Y384" s="20"/>
      <c r="Z384" s="20"/>
      <c r="AA384" s="3"/>
      <c r="AB384" s="8"/>
    </row>
    <row r="385" spans="1:28" x14ac:dyDescent="0.25">
      <c r="A385" s="4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9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9"/>
    </row>
    <row r="386" spans="1:28" ht="15" customHeight="1" x14ac:dyDescent="0.45">
      <c r="A386" s="15">
        <f ca="1">TODAY()</f>
        <v>42945</v>
      </c>
      <c r="B386" s="16"/>
      <c r="C386" s="16"/>
      <c r="D386" s="6"/>
      <c r="E386" s="6"/>
      <c r="F386" s="6"/>
      <c r="G386" s="6"/>
      <c r="H386" s="7"/>
      <c r="I386" s="17" t="s">
        <v>0</v>
      </c>
      <c r="J386" s="17"/>
      <c r="K386" s="11"/>
      <c r="L386" s="11"/>
      <c r="M386" s="11"/>
      <c r="N386" s="6"/>
      <c r="O386" s="15">
        <f ca="1">TODAY()</f>
        <v>42945</v>
      </c>
      <c r="P386" s="16"/>
      <c r="Q386" s="16"/>
      <c r="R386" s="6"/>
      <c r="S386" s="6"/>
      <c r="T386" s="6"/>
      <c r="U386" s="6"/>
      <c r="V386" s="7"/>
      <c r="W386" s="17" t="s">
        <v>0</v>
      </c>
      <c r="X386" s="17"/>
      <c r="Y386" s="11"/>
      <c r="Z386" s="11"/>
      <c r="AA386" s="11"/>
      <c r="AB386" s="6"/>
    </row>
    <row r="387" spans="1:28" x14ac:dyDescent="0.25">
      <c r="A387" s="2"/>
      <c r="B387" s="3"/>
      <c r="C387" s="3"/>
      <c r="D387" s="3"/>
      <c r="E387" s="3"/>
      <c r="F387" s="3"/>
      <c r="G387" s="3"/>
      <c r="H387" s="3"/>
      <c r="I387" s="3"/>
      <c r="J387" s="3"/>
      <c r="K387" s="3" t="str">
        <f>EncodeBarcode(1,K386,K386,50,1,0,2)</f>
        <v/>
      </c>
      <c r="L387" s="3"/>
      <c r="M387" s="3"/>
      <c r="N387" s="3"/>
      <c r="O387" s="2"/>
      <c r="P387" s="3"/>
      <c r="Q387" s="3"/>
      <c r="R387" s="3"/>
      <c r="S387" s="3"/>
      <c r="T387" s="3"/>
      <c r="U387" s="3"/>
      <c r="V387" s="3"/>
      <c r="W387" s="3"/>
      <c r="X387" s="3"/>
      <c r="Y387" s="3" t="str">
        <f>EncodeBarcode(1,Y386,Y386,50,1,0,2)</f>
        <v/>
      </c>
      <c r="Z387" s="3"/>
      <c r="AA387" s="3"/>
      <c r="AB387" s="3"/>
    </row>
    <row r="388" spans="1:28" ht="15" customHeight="1" x14ac:dyDescent="0.25">
      <c r="A388" s="12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4"/>
      <c r="O388" s="12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4"/>
    </row>
    <row r="389" spans="1:28" ht="15" customHeight="1" x14ac:dyDescent="0.25">
      <c r="A389" s="12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4"/>
      <c r="O389" s="12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4"/>
    </row>
    <row r="390" spans="1:28" ht="15" customHeight="1" x14ac:dyDescent="0.25">
      <c r="A390" s="12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4"/>
      <c r="O390" s="12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4"/>
    </row>
    <row r="391" spans="1:28" ht="15" customHeight="1" x14ac:dyDescent="0.25">
      <c r="A391" s="12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4"/>
      <c r="O391" s="12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4"/>
    </row>
    <row r="392" spans="1:28" ht="15" customHeight="1" x14ac:dyDescent="0.25">
      <c r="A392" s="12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4"/>
      <c r="O392" s="12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4"/>
    </row>
    <row r="393" spans="1:28" x14ac:dyDescent="0.25">
      <c r="A393" s="2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8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8"/>
    </row>
    <row r="394" spans="1:28" ht="15" customHeight="1" x14ac:dyDescent="0.25">
      <c r="A394" s="18" t="s">
        <v>2</v>
      </c>
      <c r="B394" s="18"/>
      <c r="C394" s="19"/>
      <c r="D394" s="19"/>
      <c r="E394" s="19"/>
      <c r="F394" s="19"/>
      <c r="G394" s="19"/>
      <c r="H394" s="19"/>
      <c r="I394" s="20" t="s">
        <v>1</v>
      </c>
      <c r="J394" s="20"/>
      <c r="K394" s="20"/>
      <c r="L394" s="20"/>
      <c r="M394" s="3"/>
      <c r="N394" s="8"/>
      <c r="O394" s="18" t="s">
        <v>2</v>
      </c>
      <c r="P394" s="18"/>
      <c r="Q394" s="19"/>
      <c r="R394" s="19"/>
      <c r="S394" s="19"/>
      <c r="T394" s="19"/>
      <c r="U394" s="19"/>
      <c r="V394" s="19"/>
      <c r="W394" s="20" t="s">
        <v>1</v>
      </c>
      <c r="X394" s="20"/>
      <c r="Y394" s="20"/>
      <c r="Z394" s="20"/>
      <c r="AA394" s="3"/>
      <c r="AB394" s="8"/>
    </row>
    <row r="395" spans="1:28" ht="15" customHeight="1" x14ac:dyDescent="0.25">
      <c r="A395" s="21" t="s">
        <v>3</v>
      </c>
      <c r="B395" s="21"/>
      <c r="C395" s="19"/>
      <c r="D395" s="19"/>
      <c r="E395" s="19"/>
      <c r="F395" s="19"/>
      <c r="G395" s="19"/>
      <c r="H395" s="19"/>
      <c r="I395" s="20"/>
      <c r="J395" s="20"/>
      <c r="K395" s="20"/>
      <c r="L395" s="20"/>
      <c r="M395" s="3"/>
      <c r="N395" s="8"/>
      <c r="O395" s="21" t="s">
        <v>3</v>
      </c>
      <c r="P395" s="21"/>
      <c r="Q395" s="19"/>
      <c r="R395" s="19"/>
      <c r="S395" s="19"/>
      <c r="T395" s="19"/>
      <c r="U395" s="19"/>
      <c r="V395" s="19"/>
      <c r="W395" s="20"/>
      <c r="X395" s="20"/>
      <c r="Y395" s="20"/>
      <c r="Z395" s="20"/>
      <c r="AA395" s="3"/>
      <c r="AB395" s="8"/>
    </row>
    <row r="396" spans="1:28" x14ac:dyDescent="0.25">
      <c r="A396" s="4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9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9"/>
    </row>
    <row r="397" spans="1:28" ht="15" customHeight="1" x14ac:dyDescent="0.45">
      <c r="A397" s="15">
        <f ca="1">TODAY()</f>
        <v>42945</v>
      </c>
      <c r="B397" s="16"/>
      <c r="C397" s="16"/>
      <c r="D397" s="6"/>
      <c r="E397" s="6"/>
      <c r="F397" s="6"/>
      <c r="G397" s="6"/>
      <c r="H397" s="7"/>
      <c r="I397" s="17" t="s">
        <v>0</v>
      </c>
      <c r="J397" s="17"/>
      <c r="K397" s="11"/>
      <c r="L397" s="11"/>
      <c r="M397" s="11"/>
      <c r="N397" s="6"/>
      <c r="O397" s="15">
        <f ca="1">TODAY()</f>
        <v>42945</v>
      </c>
      <c r="P397" s="16"/>
      <c r="Q397" s="16"/>
      <c r="R397" s="6"/>
      <c r="S397" s="6"/>
      <c r="T397" s="6"/>
      <c r="U397" s="6"/>
      <c r="V397" s="7"/>
      <c r="W397" s="17" t="s">
        <v>0</v>
      </c>
      <c r="X397" s="17"/>
      <c r="Y397" s="11"/>
      <c r="Z397" s="11"/>
      <c r="AA397" s="11"/>
      <c r="AB397" s="6"/>
    </row>
    <row r="398" spans="1:28" x14ac:dyDescent="0.25">
      <c r="A398" s="2"/>
      <c r="B398" s="3"/>
      <c r="C398" s="3"/>
      <c r="D398" s="3"/>
      <c r="E398" s="3"/>
      <c r="F398" s="3"/>
      <c r="G398" s="3"/>
      <c r="H398" s="3"/>
      <c r="I398" s="3"/>
      <c r="J398" s="3"/>
      <c r="K398" s="3" t="str">
        <f>EncodeBarcode(1,K397,K397,50,1,0,2)</f>
        <v/>
      </c>
      <c r="L398" s="3"/>
      <c r="M398" s="3"/>
      <c r="N398" s="3"/>
      <c r="O398" s="2"/>
      <c r="P398" s="3"/>
      <c r="Q398" s="3"/>
      <c r="R398" s="3"/>
      <c r="S398" s="3"/>
      <c r="T398" s="3"/>
      <c r="U398" s="3"/>
      <c r="V398" s="3"/>
      <c r="W398" s="3"/>
      <c r="X398" s="3"/>
      <c r="Y398" s="3" t="str">
        <f>EncodeBarcode(1,Y397,Y397,50,1,0,2)</f>
        <v/>
      </c>
      <c r="Z398" s="3"/>
      <c r="AA398" s="3"/>
      <c r="AB398" s="3"/>
    </row>
    <row r="399" spans="1:28" ht="15" customHeight="1" x14ac:dyDescent="0.25">
      <c r="A399" s="12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4"/>
      <c r="O399" s="12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4"/>
    </row>
    <row r="400" spans="1:28" ht="15" customHeight="1" x14ac:dyDescent="0.25">
      <c r="A400" s="12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4"/>
      <c r="O400" s="12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4"/>
    </row>
    <row r="401" spans="1:28" ht="15" customHeight="1" x14ac:dyDescent="0.25">
      <c r="A401" s="12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4"/>
      <c r="O401" s="12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4"/>
    </row>
    <row r="402" spans="1:28" ht="15" customHeight="1" x14ac:dyDescent="0.25">
      <c r="A402" s="12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4"/>
      <c r="O402" s="12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4"/>
    </row>
    <row r="403" spans="1:28" ht="15" customHeight="1" x14ac:dyDescent="0.25">
      <c r="A403" s="12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4"/>
      <c r="O403" s="12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4"/>
    </row>
    <row r="404" spans="1:28" x14ac:dyDescent="0.25">
      <c r="A404" s="2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8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8"/>
    </row>
    <row r="405" spans="1:28" ht="15" customHeight="1" x14ac:dyDescent="0.25">
      <c r="A405" s="18" t="s">
        <v>2</v>
      </c>
      <c r="B405" s="18"/>
      <c r="C405" s="19"/>
      <c r="D405" s="19"/>
      <c r="E405" s="19"/>
      <c r="F405" s="19"/>
      <c r="G405" s="19"/>
      <c r="H405" s="19"/>
      <c r="I405" s="20" t="s">
        <v>1</v>
      </c>
      <c r="J405" s="20"/>
      <c r="K405" s="20"/>
      <c r="L405" s="20"/>
      <c r="M405" s="3"/>
      <c r="N405" s="8"/>
      <c r="O405" s="18" t="s">
        <v>2</v>
      </c>
      <c r="P405" s="18"/>
      <c r="Q405" s="19"/>
      <c r="R405" s="19"/>
      <c r="S405" s="19"/>
      <c r="T405" s="19"/>
      <c r="U405" s="19"/>
      <c r="V405" s="19"/>
      <c r="W405" s="20" t="s">
        <v>1</v>
      </c>
      <c r="X405" s="20"/>
      <c r="Y405" s="20"/>
      <c r="Z405" s="20"/>
      <c r="AA405" s="3"/>
      <c r="AB405" s="8"/>
    </row>
    <row r="406" spans="1:28" ht="15" customHeight="1" x14ac:dyDescent="0.25">
      <c r="A406" s="21" t="s">
        <v>3</v>
      </c>
      <c r="B406" s="21"/>
      <c r="C406" s="19"/>
      <c r="D406" s="19"/>
      <c r="E406" s="19"/>
      <c r="F406" s="19"/>
      <c r="G406" s="19"/>
      <c r="H406" s="19"/>
      <c r="I406" s="20"/>
      <c r="J406" s="20"/>
      <c r="K406" s="20"/>
      <c r="L406" s="20"/>
      <c r="M406" s="3"/>
      <c r="N406" s="8"/>
      <c r="O406" s="21" t="s">
        <v>3</v>
      </c>
      <c r="P406" s="21"/>
      <c r="Q406" s="19"/>
      <c r="R406" s="19"/>
      <c r="S406" s="19"/>
      <c r="T406" s="19"/>
      <c r="U406" s="19"/>
      <c r="V406" s="19"/>
      <c r="W406" s="20"/>
      <c r="X406" s="20"/>
      <c r="Y406" s="20"/>
      <c r="Z406" s="20"/>
      <c r="AA406" s="3"/>
      <c r="AB406" s="8"/>
    </row>
    <row r="407" spans="1:28" x14ac:dyDescent="0.25">
      <c r="A407" s="4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9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9"/>
    </row>
    <row r="408" spans="1:28" ht="15" customHeight="1" x14ac:dyDescent="0.45">
      <c r="A408" s="15">
        <f ca="1">TODAY()</f>
        <v>42945</v>
      </c>
      <c r="B408" s="16"/>
      <c r="C408" s="16"/>
      <c r="D408" s="6"/>
      <c r="E408" s="6"/>
      <c r="F408" s="6"/>
      <c r="G408" s="6"/>
      <c r="H408" s="7"/>
      <c r="I408" s="17" t="s">
        <v>0</v>
      </c>
      <c r="J408" s="17"/>
      <c r="K408" s="11"/>
      <c r="L408" s="11"/>
      <c r="M408" s="11"/>
      <c r="N408" s="6"/>
      <c r="O408" s="15">
        <f ca="1">TODAY()</f>
        <v>42945</v>
      </c>
      <c r="P408" s="16"/>
      <c r="Q408" s="16"/>
      <c r="R408" s="6"/>
      <c r="S408" s="6"/>
      <c r="T408" s="6"/>
      <c r="U408" s="6"/>
      <c r="V408" s="7"/>
      <c r="W408" s="17" t="s">
        <v>0</v>
      </c>
      <c r="X408" s="17"/>
      <c r="Y408" s="11"/>
      <c r="Z408" s="11"/>
      <c r="AA408" s="11"/>
      <c r="AB408" s="6"/>
    </row>
    <row r="409" spans="1:28" x14ac:dyDescent="0.25">
      <c r="A409" s="2"/>
      <c r="B409" s="3"/>
      <c r="C409" s="3"/>
      <c r="D409" s="3"/>
      <c r="E409" s="3"/>
      <c r="F409" s="3"/>
      <c r="G409" s="3"/>
      <c r="H409" s="3"/>
      <c r="I409" s="3"/>
      <c r="J409" s="3"/>
      <c r="K409" s="3" t="str">
        <f>EncodeBarcode(1,K408,K408,50,1,0,2)</f>
        <v/>
      </c>
      <c r="L409" s="3"/>
      <c r="M409" s="3"/>
      <c r="N409" s="3"/>
      <c r="O409" s="2"/>
      <c r="P409" s="3"/>
      <c r="Q409" s="3"/>
      <c r="R409" s="3"/>
      <c r="S409" s="3"/>
      <c r="T409" s="3"/>
      <c r="U409" s="3"/>
      <c r="V409" s="3"/>
      <c r="W409" s="3"/>
      <c r="X409" s="3"/>
      <c r="Y409" s="3" t="str">
        <f>EncodeBarcode(1,Y408,Y408,50,1,0,2)</f>
        <v/>
      </c>
      <c r="Z409" s="3"/>
      <c r="AA409" s="3"/>
      <c r="AB409" s="3"/>
    </row>
    <row r="410" spans="1:28" ht="15" customHeight="1" x14ac:dyDescent="0.25">
      <c r="A410" s="12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4"/>
      <c r="O410" s="12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4"/>
    </row>
    <row r="411" spans="1:28" ht="15" customHeight="1" x14ac:dyDescent="0.25">
      <c r="A411" s="12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4"/>
      <c r="O411" s="12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4"/>
    </row>
    <row r="412" spans="1:28" ht="15" customHeight="1" x14ac:dyDescent="0.25">
      <c r="A412" s="12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4"/>
      <c r="O412" s="12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4"/>
    </row>
    <row r="413" spans="1:28" ht="15" customHeight="1" x14ac:dyDescent="0.25">
      <c r="A413" s="12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4"/>
      <c r="O413" s="12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4"/>
    </row>
    <row r="414" spans="1:28" ht="15" customHeight="1" x14ac:dyDescent="0.25">
      <c r="A414" s="12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4"/>
      <c r="O414" s="12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4"/>
    </row>
    <row r="415" spans="1:28" x14ac:dyDescent="0.25">
      <c r="A415" s="2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8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8"/>
    </row>
    <row r="416" spans="1:28" ht="15" customHeight="1" x14ac:dyDescent="0.25">
      <c r="A416" s="18" t="s">
        <v>2</v>
      </c>
      <c r="B416" s="18"/>
      <c r="C416" s="19"/>
      <c r="D416" s="19"/>
      <c r="E416" s="19"/>
      <c r="F416" s="19"/>
      <c r="G416" s="19"/>
      <c r="H416" s="19"/>
      <c r="I416" s="20" t="s">
        <v>1</v>
      </c>
      <c r="J416" s="20"/>
      <c r="K416" s="20"/>
      <c r="L416" s="20"/>
      <c r="M416" s="3"/>
      <c r="N416" s="8"/>
      <c r="O416" s="18" t="s">
        <v>2</v>
      </c>
      <c r="P416" s="18"/>
      <c r="Q416" s="19"/>
      <c r="R416" s="19"/>
      <c r="S416" s="19"/>
      <c r="T416" s="19"/>
      <c r="U416" s="19"/>
      <c r="V416" s="19"/>
      <c r="W416" s="20" t="s">
        <v>1</v>
      </c>
      <c r="X416" s="20"/>
      <c r="Y416" s="20"/>
      <c r="Z416" s="20"/>
      <c r="AA416" s="3"/>
      <c r="AB416" s="8"/>
    </row>
    <row r="417" spans="1:28" ht="15" customHeight="1" x14ac:dyDescent="0.25">
      <c r="A417" s="21" t="s">
        <v>3</v>
      </c>
      <c r="B417" s="21"/>
      <c r="C417" s="19"/>
      <c r="D417" s="19"/>
      <c r="E417" s="19"/>
      <c r="F417" s="19"/>
      <c r="G417" s="19"/>
      <c r="H417" s="19"/>
      <c r="I417" s="20"/>
      <c r="J417" s="20"/>
      <c r="K417" s="20"/>
      <c r="L417" s="20"/>
      <c r="M417" s="3"/>
      <c r="N417" s="8"/>
      <c r="O417" s="21" t="s">
        <v>3</v>
      </c>
      <c r="P417" s="21"/>
      <c r="Q417" s="19"/>
      <c r="R417" s="19"/>
      <c r="S417" s="19"/>
      <c r="T417" s="19"/>
      <c r="U417" s="19"/>
      <c r="V417" s="19"/>
      <c r="W417" s="20"/>
      <c r="X417" s="20"/>
      <c r="Y417" s="20"/>
      <c r="Z417" s="20"/>
      <c r="AA417" s="3"/>
      <c r="AB417" s="8"/>
    </row>
    <row r="418" spans="1:28" x14ac:dyDescent="0.25">
      <c r="A418" s="4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9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9"/>
    </row>
    <row r="419" spans="1:28" ht="15" customHeight="1" x14ac:dyDescent="0.45">
      <c r="A419" s="15">
        <f ca="1">TODAY()</f>
        <v>42945</v>
      </c>
      <c r="B419" s="16"/>
      <c r="C419" s="16"/>
      <c r="D419" s="6"/>
      <c r="E419" s="6"/>
      <c r="F419" s="6"/>
      <c r="G419" s="6"/>
      <c r="H419" s="7"/>
      <c r="I419" s="17" t="s">
        <v>0</v>
      </c>
      <c r="J419" s="17"/>
      <c r="K419" s="11"/>
      <c r="L419" s="11"/>
      <c r="M419" s="11"/>
      <c r="N419" s="6"/>
      <c r="O419" s="15">
        <f ca="1">TODAY()</f>
        <v>42945</v>
      </c>
      <c r="P419" s="16"/>
      <c r="Q419" s="16"/>
      <c r="R419" s="6"/>
      <c r="S419" s="6"/>
      <c r="T419" s="6"/>
      <c r="U419" s="6"/>
      <c r="V419" s="7"/>
      <c r="W419" s="17" t="s">
        <v>0</v>
      </c>
      <c r="X419" s="17"/>
      <c r="Y419" s="11"/>
      <c r="Z419" s="11"/>
      <c r="AA419" s="11"/>
      <c r="AB419" s="6"/>
    </row>
    <row r="420" spans="1:28" x14ac:dyDescent="0.25">
      <c r="A420" s="2"/>
      <c r="B420" s="3"/>
      <c r="C420" s="3"/>
      <c r="D420" s="3"/>
      <c r="E420" s="3"/>
      <c r="F420" s="3"/>
      <c r="G420" s="3"/>
      <c r="H420" s="3"/>
      <c r="I420" s="3"/>
      <c r="J420" s="3"/>
      <c r="K420" s="3" t="str">
        <f>EncodeBarcode(1,K419,K419,50,1,0,2)</f>
        <v/>
      </c>
      <c r="L420" s="3"/>
      <c r="M420" s="3"/>
      <c r="N420" s="3"/>
      <c r="O420" s="2"/>
      <c r="P420" s="3"/>
      <c r="Q420" s="3"/>
      <c r="R420" s="3"/>
      <c r="S420" s="3"/>
      <c r="T420" s="3"/>
      <c r="U420" s="3"/>
      <c r="V420" s="3"/>
      <c r="W420" s="3"/>
      <c r="X420" s="3"/>
      <c r="Y420" s="3" t="str">
        <f>EncodeBarcode(1,Y419,Y419,50,1,0,2)</f>
        <v/>
      </c>
      <c r="Z420" s="3"/>
      <c r="AA420" s="3"/>
      <c r="AB420" s="3"/>
    </row>
    <row r="421" spans="1:28" ht="15" customHeight="1" x14ac:dyDescent="0.25">
      <c r="A421" s="12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4"/>
      <c r="O421" s="12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4"/>
    </row>
    <row r="422" spans="1:28" ht="15" customHeight="1" x14ac:dyDescent="0.25">
      <c r="A422" s="12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4"/>
      <c r="O422" s="12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4"/>
    </row>
    <row r="423" spans="1:28" ht="15" customHeight="1" x14ac:dyDescent="0.25">
      <c r="A423" s="12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4"/>
      <c r="O423" s="12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4"/>
    </row>
    <row r="424" spans="1:28" ht="15" customHeight="1" x14ac:dyDescent="0.25">
      <c r="A424" s="12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4"/>
      <c r="O424" s="12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4"/>
    </row>
    <row r="425" spans="1:28" ht="15" customHeight="1" x14ac:dyDescent="0.25">
      <c r="A425" s="12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4"/>
      <c r="O425" s="12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4"/>
    </row>
    <row r="426" spans="1:28" x14ac:dyDescent="0.25">
      <c r="A426" s="2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8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8"/>
    </row>
    <row r="427" spans="1:28" ht="15" customHeight="1" x14ac:dyDescent="0.25">
      <c r="A427" s="18" t="s">
        <v>2</v>
      </c>
      <c r="B427" s="18"/>
      <c r="C427" s="19"/>
      <c r="D427" s="19"/>
      <c r="E427" s="19"/>
      <c r="F427" s="19"/>
      <c r="G427" s="19"/>
      <c r="H427" s="19"/>
      <c r="I427" s="20" t="s">
        <v>1</v>
      </c>
      <c r="J427" s="20"/>
      <c r="K427" s="20"/>
      <c r="L427" s="20"/>
      <c r="M427" s="3"/>
      <c r="N427" s="8"/>
      <c r="O427" s="18" t="s">
        <v>2</v>
      </c>
      <c r="P427" s="18"/>
      <c r="Q427" s="19"/>
      <c r="R427" s="19"/>
      <c r="S427" s="19"/>
      <c r="T427" s="19"/>
      <c r="U427" s="19"/>
      <c r="V427" s="19"/>
      <c r="W427" s="20" t="s">
        <v>1</v>
      </c>
      <c r="X427" s="20"/>
      <c r="Y427" s="20"/>
      <c r="Z427" s="20"/>
      <c r="AA427" s="3"/>
      <c r="AB427" s="8"/>
    </row>
    <row r="428" spans="1:28" ht="15" customHeight="1" x14ac:dyDescent="0.25">
      <c r="A428" s="21" t="s">
        <v>3</v>
      </c>
      <c r="B428" s="21"/>
      <c r="C428" s="19"/>
      <c r="D428" s="19"/>
      <c r="E428" s="19"/>
      <c r="F428" s="19"/>
      <c r="G428" s="19"/>
      <c r="H428" s="19"/>
      <c r="I428" s="20"/>
      <c r="J428" s="20"/>
      <c r="K428" s="20"/>
      <c r="L428" s="20"/>
      <c r="M428" s="3"/>
      <c r="N428" s="8"/>
      <c r="O428" s="21" t="s">
        <v>3</v>
      </c>
      <c r="P428" s="21"/>
      <c r="Q428" s="19"/>
      <c r="R428" s="19"/>
      <c r="S428" s="19"/>
      <c r="T428" s="19"/>
      <c r="U428" s="19"/>
      <c r="V428" s="19"/>
      <c r="W428" s="20"/>
      <c r="X428" s="20"/>
      <c r="Y428" s="20"/>
      <c r="Z428" s="20"/>
      <c r="AA428" s="3"/>
      <c r="AB428" s="8"/>
    </row>
    <row r="429" spans="1:28" x14ac:dyDescent="0.25">
      <c r="A429" s="4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9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9"/>
    </row>
    <row r="430" spans="1:28" ht="15" customHeight="1" x14ac:dyDescent="0.45">
      <c r="A430" s="15">
        <f ca="1">TODAY()</f>
        <v>42945</v>
      </c>
      <c r="B430" s="16"/>
      <c r="C430" s="16"/>
      <c r="D430" s="6"/>
      <c r="E430" s="6"/>
      <c r="F430" s="6"/>
      <c r="G430" s="6"/>
      <c r="H430" s="7"/>
      <c r="I430" s="17" t="s">
        <v>0</v>
      </c>
      <c r="J430" s="17"/>
      <c r="K430" s="11"/>
      <c r="L430" s="11"/>
      <c r="M430" s="11"/>
      <c r="N430" s="6"/>
      <c r="O430" s="15">
        <f ca="1">TODAY()</f>
        <v>42945</v>
      </c>
      <c r="P430" s="16"/>
      <c r="Q430" s="16"/>
      <c r="R430" s="6"/>
      <c r="S430" s="6"/>
      <c r="T430" s="6"/>
      <c r="U430" s="6"/>
      <c r="V430" s="7"/>
      <c r="W430" s="17" t="s">
        <v>0</v>
      </c>
      <c r="X430" s="17"/>
      <c r="Y430" s="11"/>
      <c r="Z430" s="11"/>
      <c r="AA430" s="11"/>
      <c r="AB430" s="6"/>
    </row>
    <row r="431" spans="1:28" x14ac:dyDescent="0.25">
      <c r="A431" s="2"/>
      <c r="B431" s="3"/>
      <c r="C431" s="3"/>
      <c r="D431" s="3"/>
      <c r="E431" s="3"/>
      <c r="F431" s="3"/>
      <c r="G431" s="3"/>
      <c r="H431" s="3"/>
      <c r="I431" s="3"/>
      <c r="J431" s="3"/>
      <c r="K431" s="3" t="str">
        <f>EncodeBarcode(1,K430,K430,50,1,0,2)</f>
        <v/>
      </c>
      <c r="L431" s="3"/>
      <c r="M431" s="3"/>
      <c r="N431" s="3"/>
      <c r="O431" s="2"/>
      <c r="P431" s="3"/>
      <c r="Q431" s="3"/>
      <c r="R431" s="3"/>
      <c r="S431" s="3"/>
      <c r="T431" s="3"/>
      <c r="U431" s="3"/>
      <c r="V431" s="3"/>
      <c r="W431" s="3"/>
      <c r="X431" s="3"/>
      <c r="Y431" s="3" t="str">
        <f>EncodeBarcode(1,Y430,Y430,50,1,0,2)</f>
        <v/>
      </c>
      <c r="Z431" s="3"/>
      <c r="AA431" s="3"/>
      <c r="AB431" s="3"/>
    </row>
    <row r="432" spans="1:28" ht="15" customHeight="1" x14ac:dyDescent="0.25">
      <c r="A432" s="12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4"/>
      <c r="O432" s="12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4"/>
    </row>
    <row r="433" spans="1:28" ht="15" customHeight="1" x14ac:dyDescent="0.25">
      <c r="A433" s="12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4"/>
      <c r="O433" s="12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4"/>
    </row>
    <row r="434" spans="1:28" ht="15" customHeight="1" x14ac:dyDescent="0.25">
      <c r="A434" s="12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4"/>
      <c r="O434" s="12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4"/>
    </row>
    <row r="435" spans="1:28" ht="15" customHeight="1" x14ac:dyDescent="0.25">
      <c r="A435" s="12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4"/>
      <c r="O435" s="12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4"/>
    </row>
    <row r="436" spans="1:28" ht="15" customHeight="1" x14ac:dyDescent="0.25">
      <c r="A436" s="12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4"/>
      <c r="O436" s="12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4"/>
    </row>
    <row r="437" spans="1:28" x14ac:dyDescent="0.25">
      <c r="A437" s="2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8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8"/>
    </row>
    <row r="438" spans="1:28" ht="15" customHeight="1" x14ac:dyDescent="0.25">
      <c r="A438" s="18" t="s">
        <v>2</v>
      </c>
      <c r="B438" s="18"/>
      <c r="C438" s="19"/>
      <c r="D438" s="19"/>
      <c r="E438" s="19"/>
      <c r="F438" s="19"/>
      <c r="G438" s="19"/>
      <c r="H438" s="19"/>
      <c r="I438" s="20" t="s">
        <v>1</v>
      </c>
      <c r="J438" s="20"/>
      <c r="K438" s="20"/>
      <c r="L438" s="20"/>
      <c r="M438" s="3"/>
      <c r="N438" s="8"/>
      <c r="O438" s="18" t="s">
        <v>2</v>
      </c>
      <c r="P438" s="18"/>
      <c r="Q438" s="19"/>
      <c r="R438" s="19"/>
      <c r="S438" s="19"/>
      <c r="T438" s="19"/>
      <c r="U438" s="19"/>
      <c r="V438" s="19"/>
      <c r="W438" s="20" t="s">
        <v>1</v>
      </c>
      <c r="X438" s="20"/>
      <c r="Y438" s="20"/>
      <c r="Z438" s="20"/>
      <c r="AA438" s="3"/>
      <c r="AB438" s="8"/>
    </row>
    <row r="439" spans="1:28" ht="15" customHeight="1" x14ac:dyDescent="0.25">
      <c r="A439" s="21" t="s">
        <v>3</v>
      </c>
      <c r="B439" s="21"/>
      <c r="C439" s="19"/>
      <c r="D439" s="19"/>
      <c r="E439" s="19"/>
      <c r="F439" s="19"/>
      <c r="G439" s="19"/>
      <c r="H439" s="19"/>
      <c r="I439" s="20"/>
      <c r="J439" s="20"/>
      <c r="K439" s="20"/>
      <c r="L439" s="20"/>
      <c r="M439" s="3"/>
      <c r="N439" s="8"/>
      <c r="O439" s="21" t="s">
        <v>3</v>
      </c>
      <c r="P439" s="21"/>
      <c r="Q439" s="19"/>
      <c r="R439" s="19"/>
      <c r="S439" s="19"/>
      <c r="T439" s="19"/>
      <c r="U439" s="19"/>
      <c r="V439" s="19"/>
      <c r="W439" s="20"/>
      <c r="X439" s="20"/>
      <c r="Y439" s="20"/>
      <c r="Z439" s="20"/>
      <c r="AA439" s="3"/>
      <c r="AB439" s="8"/>
    </row>
    <row r="440" spans="1:28" x14ac:dyDescent="0.25">
      <c r="A440" s="4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9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9"/>
    </row>
    <row r="441" spans="1:28" ht="15" customHeight="1" x14ac:dyDescent="0.45">
      <c r="A441" s="15">
        <f ca="1">TODAY()</f>
        <v>42945</v>
      </c>
      <c r="B441" s="16"/>
      <c r="C441" s="16"/>
      <c r="D441" s="6"/>
      <c r="E441" s="6"/>
      <c r="F441" s="6"/>
      <c r="G441" s="6"/>
      <c r="H441" s="7"/>
      <c r="I441" s="17" t="s">
        <v>0</v>
      </c>
      <c r="J441" s="17"/>
      <c r="K441" s="11"/>
      <c r="L441" s="11"/>
      <c r="M441" s="11"/>
      <c r="N441" s="6"/>
      <c r="O441" s="15">
        <f ca="1">TODAY()</f>
        <v>42945</v>
      </c>
      <c r="P441" s="16"/>
      <c r="Q441" s="16"/>
      <c r="R441" s="6"/>
      <c r="S441" s="6"/>
      <c r="T441" s="6"/>
      <c r="U441" s="6"/>
      <c r="V441" s="7"/>
      <c r="W441" s="17" t="s">
        <v>0</v>
      </c>
      <c r="X441" s="17"/>
      <c r="Y441" s="11"/>
      <c r="Z441" s="11"/>
      <c r="AA441" s="11"/>
      <c r="AB441" s="6"/>
    </row>
    <row r="442" spans="1:28" x14ac:dyDescent="0.25">
      <c r="A442" s="2"/>
      <c r="B442" s="3"/>
      <c r="C442" s="3"/>
      <c r="D442" s="3"/>
      <c r="E442" s="3"/>
      <c r="F442" s="3"/>
      <c r="G442" s="3"/>
      <c r="H442" s="3"/>
      <c r="I442" s="3"/>
      <c r="J442" s="3"/>
      <c r="K442" s="3" t="str">
        <f>EncodeBarcode(1,K441,K441,50,1,0,2)</f>
        <v/>
      </c>
      <c r="L442" s="3"/>
      <c r="M442" s="3"/>
      <c r="N442" s="3"/>
      <c r="O442" s="2"/>
      <c r="P442" s="3"/>
      <c r="Q442" s="3"/>
      <c r="R442" s="3"/>
      <c r="S442" s="3"/>
      <c r="T442" s="3"/>
      <c r="U442" s="3"/>
      <c r="V442" s="3"/>
      <c r="W442" s="3"/>
      <c r="X442" s="3"/>
      <c r="Y442" s="3" t="str">
        <f>EncodeBarcode(1,Y441,Y441,50,1,0,2)</f>
        <v/>
      </c>
      <c r="Z442" s="3"/>
      <c r="AA442" s="3"/>
      <c r="AB442" s="3"/>
    </row>
    <row r="443" spans="1:28" ht="15" customHeight="1" x14ac:dyDescent="0.25">
      <c r="A443" s="12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4"/>
      <c r="O443" s="12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4"/>
    </row>
    <row r="444" spans="1:28" ht="15" customHeight="1" x14ac:dyDescent="0.25">
      <c r="A444" s="12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4"/>
      <c r="O444" s="12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4"/>
    </row>
    <row r="445" spans="1:28" ht="15" customHeight="1" x14ac:dyDescent="0.25">
      <c r="A445" s="12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4"/>
      <c r="O445" s="12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4"/>
    </row>
    <row r="446" spans="1:28" ht="15" customHeight="1" x14ac:dyDescent="0.25">
      <c r="A446" s="12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4"/>
      <c r="O446" s="12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4"/>
    </row>
    <row r="447" spans="1:28" ht="15" customHeight="1" x14ac:dyDescent="0.25">
      <c r="A447" s="12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4"/>
      <c r="O447" s="12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4"/>
    </row>
    <row r="448" spans="1:28" x14ac:dyDescent="0.25">
      <c r="A448" s="2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8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8"/>
    </row>
    <row r="449" spans="1:28" ht="15" customHeight="1" x14ac:dyDescent="0.25">
      <c r="A449" s="18" t="s">
        <v>2</v>
      </c>
      <c r="B449" s="18"/>
      <c r="C449" s="19"/>
      <c r="D449" s="19"/>
      <c r="E449" s="19"/>
      <c r="F449" s="19"/>
      <c r="G449" s="19"/>
      <c r="H449" s="19"/>
      <c r="I449" s="20" t="s">
        <v>1</v>
      </c>
      <c r="J449" s="20"/>
      <c r="K449" s="20"/>
      <c r="L449" s="20"/>
      <c r="M449" s="3"/>
      <c r="N449" s="8"/>
      <c r="O449" s="18" t="s">
        <v>2</v>
      </c>
      <c r="P449" s="18"/>
      <c r="Q449" s="19"/>
      <c r="R449" s="19"/>
      <c r="S449" s="19"/>
      <c r="T449" s="19"/>
      <c r="U449" s="19"/>
      <c r="V449" s="19"/>
      <c r="W449" s="20" t="s">
        <v>1</v>
      </c>
      <c r="X449" s="20"/>
      <c r="Y449" s="20"/>
      <c r="Z449" s="20"/>
      <c r="AA449" s="3"/>
      <c r="AB449" s="8"/>
    </row>
    <row r="450" spans="1:28" ht="15" customHeight="1" x14ac:dyDescent="0.25">
      <c r="A450" s="21" t="s">
        <v>3</v>
      </c>
      <c r="B450" s="21"/>
      <c r="C450" s="19"/>
      <c r="D450" s="19"/>
      <c r="E450" s="19"/>
      <c r="F450" s="19"/>
      <c r="G450" s="19"/>
      <c r="H450" s="19"/>
      <c r="I450" s="20"/>
      <c r="J450" s="20"/>
      <c r="K450" s="20"/>
      <c r="L450" s="20"/>
      <c r="M450" s="3"/>
      <c r="N450" s="8"/>
      <c r="O450" s="21" t="s">
        <v>3</v>
      </c>
      <c r="P450" s="21"/>
      <c r="Q450" s="19"/>
      <c r="R450" s="19"/>
      <c r="S450" s="19"/>
      <c r="T450" s="19"/>
      <c r="U450" s="19"/>
      <c r="V450" s="19"/>
      <c r="W450" s="20"/>
      <c r="X450" s="20"/>
      <c r="Y450" s="20"/>
      <c r="Z450" s="20"/>
      <c r="AA450" s="3"/>
      <c r="AB450" s="8"/>
    </row>
    <row r="451" spans="1:28" x14ac:dyDescent="0.25">
      <c r="A451" s="4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9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9"/>
    </row>
    <row r="452" spans="1:28" ht="15" customHeight="1" x14ac:dyDescent="0.45">
      <c r="A452" s="15">
        <f ca="1">TODAY()</f>
        <v>42945</v>
      </c>
      <c r="B452" s="16"/>
      <c r="C452" s="16"/>
      <c r="D452" s="6"/>
      <c r="E452" s="6"/>
      <c r="F452" s="6"/>
      <c r="G452" s="6"/>
      <c r="H452" s="7"/>
      <c r="I452" s="17" t="s">
        <v>0</v>
      </c>
      <c r="J452" s="17"/>
      <c r="K452" s="11"/>
      <c r="L452" s="11"/>
      <c r="M452" s="11"/>
      <c r="N452" s="6"/>
      <c r="O452" s="15">
        <f ca="1">TODAY()</f>
        <v>42945</v>
      </c>
      <c r="P452" s="16"/>
      <c r="Q452" s="16"/>
      <c r="R452" s="6"/>
      <c r="S452" s="6"/>
      <c r="T452" s="6"/>
      <c r="U452" s="6"/>
      <c r="V452" s="7"/>
      <c r="W452" s="17" t="s">
        <v>0</v>
      </c>
      <c r="X452" s="17"/>
      <c r="Y452" s="11"/>
      <c r="Z452" s="11"/>
      <c r="AA452" s="11"/>
      <c r="AB452" s="6"/>
    </row>
    <row r="453" spans="1:28" x14ac:dyDescent="0.25">
      <c r="A453" s="2"/>
      <c r="B453" s="3"/>
      <c r="C453" s="3"/>
      <c r="D453" s="3"/>
      <c r="E453" s="3"/>
      <c r="F453" s="3"/>
      <c r="G453" s="3"/>
      <c r="H453" s="3"/>
      <c r="I453" s="3"/>
      <c r="J453" s="3"/>
      <c r="K453" s="3" t="str">
        <f>EncodeBarcode(1,K452,K452,50,1,0,2)</f>
        <v/>
      </c>
      <c r="L453" s="3"/>
      <c r="M453" s="3"/>
      <c r="N453" s="3"/>
      <c r="O453" s="2"/>
      <c r="P453" s="3"/>
      <c r="Q453" s="3"/>
      <c r="R453" s="3"/>
      <c r="S453" s="3"/>
      <c r="T453" s="3"/>
      <c r="U453" s="3"/>
      <c r="V453" s="3"/>
      <c r="W453" s="3"/>
      <c r="X453" s="3"/>
      <c r="Y453" s="3" t="str">
        <f>EncodeBarcode(1,Y452,Y452,50,1,0,2)</f>
        <v/>
      </c>
      <c r="Z453" s="3"/>
      <c r="AA453" s="3"/>
      <c r="AB453" s="3"/>
    </row>
    <row r="454" spans="1:28" ht="15" customHeight="1" x14ac:dyDescent="0.25">
      <c r="A454" s="12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4"/>
      <c r="O454" s="12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4"/>
    </row>
    <row r="455" spans="1:28" ht="15" customHeight="1" x14ac:dyDescent="0.25">
      <c r="A455" s="12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4"/>
      <c r="O455" s="12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4"/>
    </row>
    <row r="456" spans="1:28" ht="15" customHeight="1" x14ac:dyDescent="0.25">
      <c r="A456" s="12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4"/>
      <c r="O456" s="12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4"/>
    </row>
    <row r="457" spans="1:28" ht="15" customHeight="1" x14ac:dyDescent="0.25">
      <c r="A457" s="12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4"/>
      <c r="O457" s="12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4"/>
    </row>
    <row r="458" spans="1:28" ht="15" customHeight="1" x14ac:dyDescent="0.25">
      <c r="A458" s="12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4"/>
      <c r="O458" s="12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4"/>
    </row>
    <row r="459" spans="1:28" x14ac:dyDescent="0.25">
      <c r="A459" s="2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8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8"/>
    </row>
    <row r="460" spans="1:28" ht="15" customHeight="1" x14ac:dyDescent="0.25">
      <c r="A460" s="18" t="s">
        <v>2</v>
      </c>
      <c r="B460" s="18"/>
      <c r="C460" s="19"/>
      <c r="D460" s="19"/>
      <c r="E460" s="19"/>
      <c r="F460" s="19"/>
      <c r="G460" s="19"/>
      <c r="H460" s="19"/>
      <c r="I460" s="20" t="s">
        <v>1</v>
      </c>
      <c r="J460" s="20"/>
      <c r="K460" s="20"/>
      <c r="L460" s="20"/>
      <c r="M460" s="3"/>
      <c r="N460" s="8"/>
      <c r="O460" s="18" t="s">
        <v>2</v>
      </c>
      <c r="P460" s="18"/>
      <c r="Q460" s="19"/>
      <c r="R460" s="19"/>
      <c r="S460" s="19"/>
      <c r="T460" s="19"/>
      <c r="U460" s="19"/>
      <c r="V460" s="19"/>
      <c r="W460" s="20" t="s">
        <v>1</v>
      </c>
      <c r="X460" s="20"/>
      <c r="Y460" s="20"/>
      <c r="Z460" s="20"/>
      <c r="AA460" s="3"/>
      <c r="AB460" s="8"/>
    </row>
    <row r="461" spans="1:28" ht="15" customHeight="1" x14ac:dyDescent="0.25">
      <c r="A461" s="21" t="s">
        <v>3</v>
      </c>
      <c r="B461" s="21"/>
      <c r="C461" s="19"/>
      <c r="D461" s="19"/>
      <c r="E461" s="19"/>
      <c r="F461" s="19"/>
      <c r="G461" s="19"/>
      <c r="H461" s="19"/>
      <c r="I461" s="20"/>
      <c r="J461" s="20"/>
      <c r="K461" s="20"/>
      <c r="L461" s="20"/>
      <c r="M461" s="3"/>
      <c r="N461" s="8"/>
      <c r="O461" s="21" t="s">
        <v>3</v>
      </c>
      <c r="P461" s="21"/>
      <c r="Q461" s="19"/>
      <c r="R461" s="19"/>
      <c r="S461" s="19"/>
      <c r="T461" s="19"/>
      <c r="U461" s="19"/>
      <c r="V461" s="19"/>
      <c r="W461" s="20"/>
      <c r="X461" s="20"/>
      <c r="Y461" s="20"/>
      <c r="Z461" s="20"/>
      <c r="AA461" s="3"/>
      <c r="AB461" s="8"/>
    </row>
    <row r="462" spans="1:28" x14ac:dyDescent="0.25">
      <c r="A462" s="4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9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9"/>
    </row>
    <row r="463" spans="1:28" ht="15" customHeight="1" x14ac:dyDescent="0.45">
      <c r="A463" s="15">
        <f ca="1">TODAY()</f>
        <v>42945</v>
      </c>
      <c r="B463" s="16"/>
      <c r="C463" s="16"/>
      <c r="D463" s="6"/>
      <c r="E463" s="6"/>
      <c r="F463" s="6"/>
      <c r="G463" s="6"/>
      <c r="H463" s="7"/>
      <c r="I463" s="17" t="s">
        <v>0</v>
      </c>
      <c r="J463" s="17"/>
      <c r="K463" s="11"/>
      <c r="L463" s="11"/>
      <c r="M463" s="11"/>
      <c r="N463" s="6"/>
      <c r="O463" s="15">
        <f ca="1">TODAY()</f>
        <v>42945</v>
      </c>
      <c r="P463" s="16"/>
      <c r="Q463" s="16"/>
      <c r="R463" s="6"/>
      <c r="S463" s="6"/>
      <c r="T463" s="6"/>
      <c r="U463" s="6"/>
      <c r="V463" s="7"/>
      <c r="W463" s="17" t="s">
        <v>0</v>
      </c>
      <c r="X463" s="17"/>
      <c r="Y463" s="11"/>
      <c r="Z463" s="11"/>
      <c r="AA463" s="11"/>
      <c r="AB463" s="6"/>
    </row>
    <row r="464" spans="1:28" x14ac:dyDescent="0.25">
      <c r="A464" s="2"/>
      <c r="B464" s="3"/>
      <c r="C464" s="3"/>
      <c r="D464" s="3"/>
      <c r="E464" s="3"/>
      <c r="F464" s="3"/>
      <c r="G464" s="3"/>
      <c r="H464" s="3"/>
      <c r="I464" s="3"/>
      <c r="J464" s="3"/>
      <c r="K464" s="3" t="str">
        <f>EncodeBarcode(1,K463,K463,50,1,0,2)</f>
        <v/>
      </c>
      <c r="L464" s="3"/>
      <c r="M464" s="3"/>
      <c r="N464" s="3"/>
      <c r="O464" s="2"/>
      <c r="P464" s="3"/>
      <c r="Q464" s="3"/>
      <c r="R464" s="3"/>
      <c r="S464" s="3"/>
      <c r="T464" s="3"/>
      <c r="U464" s="3"/>
      <c r="V464" s="3"/>
      <c r="W464" s="3"/>
      <c r="X464" s="3"/>
      <c r="Y464" s="3" t="str">
        <f>EncodeBarcode(1,Y463,Y463,50,1,0,2)</f>
        <v/>
      </c>
      <c r="Z464" s="3"/>
      <c r="AA464" s="3"/>
      <c r="AB464" s="3"/>
    </row>
    <row r="465" spans="1:28" ht="15" customHeight="1" x14ac:dyDescent="0.25">
      <c r="A465" s="12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4"/>
      <c r="O465" s="12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4"/>
    </row>
    <row r="466" spans="1:28" ht="15" customHeight="1" x14ac:dyDescent="0.25">
      <c r="A466" s="12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4"/>
      <c r="O466" s="12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4"/>
    </row>
    <row r="467" spans="1:28" ht="15" customHeight="1" x14ac:dyDescent="0.25">
      <c r="A467" s="12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4"/>
      <c r="O467" s="12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4"/>
    </row>
    <row r="468" spans="1:28" ht="15" customHeight="1" x14ac:dyDescent="0.25">
      <c r="A468" s="12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4"/>
      <c r="O468" s="12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4"/>
    </row>
    <row r="469" spans="1:28" ht="15" customHeight="1" x14ac:dyDescent="0.25">
      <c r="A469" s="12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4"/>
      <c r="O469" s="12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4"/>
    </row>
    <row r="470" spans="1:28" x14ac:dyDescent="0.25">
      <c r="A470" s="2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8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8"/>
    </row>
    <row r="471" spans="1:28" ht="15" customHeight="1" x14ac:dyDescent="0.25">
      <c r="A471" s="18" t="s">
        <v>2</v>
      </c>
      <c r="B471" s="18"/>
      <c r="C471" s="19"/>
      <c r="D471" s="19"/>
      <c r="E471" s="19"/>
      <c r="F471" s="19"/>
      <c r="G471" s="19"/>
      <c r="H471" s="19"/>
      <c r="I471" s="20" t="s">
        <v>1</v>
      </c>
      <c r="J471" s="20"/>
      <c r="K471" s="20"/>
      <c r="L471" s="20"/>
      <c r="M471" s="3"/>
      <c r="N471" s="8"/>
      <c r="O471" s="18" t="s">
        <v>2</v>
      </c>
      <c r="P471" s="18"/>
      <c r="Q471" s="19"/>
      <c r="R471" s="19"/>
      <c r="S471" s="19"/>
      <c r="T471" s="19"/>
      <c r="U471" s="19"/>
      <c r="V471" s="19"/>
      <c r="W471" s="20" t="s">
        <v>1</v>
      </c>
      <c r="X471" s="20"/>
      <c r="Y471" s="20"/>
      <c r="Z471" s="20"/>
      <c r="AA471" s="3"/>
      <c r="AB471" s="8"/>
    </row>
    <row r="472" spans="1:28" ht="15" customHeight="1" x14ac:dyDescent="0.25">
      <c r="A472" s="21" t="s">
        <v>3</v>
      </c>
      <c r="B472" s="21"/>
      <c r="C472" s="19"/>
      <c r="D472" s="19"/>
      <c r="E472" s="19"/>
      <c r="F472" s="19"/>
      <c r="G472" s="19"/>
      <c r="H472" s="19"/>
      <c r="I472" s="20"/>
      <c r="J472" s="20"/>
      <c r="K472" s="20"/>
      <c r="L472" s="20"/>
      <c r="M472" s="3"/>
      <c r="N472" s="8"/>
      <c r="O472" s="21" t="s">
        <v>3</v>
      </c>
      <c r="P472" s="21"/>
      <c r="Q472" s="19"/>
      <c r="R472" s="19"/>
      <c r="S472" s="19"/>
      <c r="T472" s="19"/>
      <c r="U472" s="19"/>
      <c r="V472" s="19"/>
      <c r="W472" s="20"/>
      <c r="X472" s="20"/>
      <c r="Y472" s="20"/>
      <c r="Z472" s="20"/>
      <c r="AA472" s="3"/>
      <c r="AB472" s="8"/>
    </row>
    <row r="473" spans="1:28" x14ac:dyDescent="0.25">
      <c r="A473" s="4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9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9"/>
    </row>
    <row r="474" spans="1:28" ht="15" customHeight="1" x14ac:dyDescent="0.45">
      <c r="A474" s="15">
        <f ca="1">TODAY()</f>
        <v>42945</v>
      </c>
      <c r="B474" s="16"/>
      <c r="C474" s="16"/>
      <c r="D474" s="6"/>
      <c r="E474" s="6"/>
      <c r="F474" s="6"/>
      <c r="G474" s="6"/>
      <c r="H474" s="7"/>
      <c r="I474" s="17" t="s">
        <v>0</v>
      </c>
      <c r="J474" s="17"/>
      <c r="K474" s="11"/>
      <c r="L474" s="11"/>
      <c r="M474" s="11"/>
      <c r="N474" s="6"/>
      <c r="O474" s="15">
        <f ca="1">TODAY()</f>
        <v>42945</v>
      </c>
      <c r="P474" s="16"/>
      <c r="Q474" s="16"/>
      <c r="R474" s="6"/>
      <c r="S474" s="6"/>
      <c r="T474" s="6"/>
      <c r="U474" s="6"/>
      <c r="V474" s="7"/>
      <c r="W474" s="17" t="s">
        <v>0</v>
      </c>
      <c r="X474" s="17"/>
      <c r="Y474" s="11"/>
      <c r="Z474" s="11"/>
      <c r="AA474" s="11"/>
      <c r="AB474" s="6"/>
    </row>
    <row r="475" spans="1:28" x14ac:dyDescent="0.25">
      <c r="A475" s="2"/>
      <c r="B475" s="3"/>
      <c r="C475" s="3"/>
      <c r="D475" s="3"/>
      <c r="E475" s="3"/>
      <c r="F475" s="3"/>
      <c r="G475" s="3"/>
      <c r="H475" s="3"/>
      <c r="I475" s="3"/>
      <c r="J475" s="3"/>
      <c r="K475" s="3" t="str">
        <f>EncodeBarcode(1,K474,K474,50,1,0,2)</f>
        <v/>
      </c>
      <c r="L475" s="3"/>
      <c r="M475" s="3"/>
      <c r="N475" s="3"/>
      <c r="O475" s="2"/>
      <c r="P475" s="3"/>
      <c r="Q475" s="3"/>
      <c r="R475" s="3"/>
      <c r="S475" s="3"/>
      <c r="T475" s="3"/>
      <c r="U475" s="3"/>
      <c r="V475" s="3"/>
      <c r="W475" s="3"/>
      <c r="X475" s="3"/>
      <c r="Y475" s="3" t="str">
        <f>EncodeBarcode(1,Y474,Y474,50,1,0,2)</f>
        <v/>
      </c>
      <c r="Z475" s="3"/>
      <c r="AA475" s="3"/>
      <c r="AB475" s="3"/>
    </row>
    <row r="476" spans="1:28" ht="15" customHeight="1" x14ac:dyDescent="0.25">
      <c r="A476" s="12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4"/>
      <c r="O476" s="12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4"/>
    </row>
    <row r="477" spans="1:28" ht="15" customHeight="1" x14ac:dyDescent="0.25">
      <c r="A477" s="12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4"/>
      <c r="O477" s="12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4"/>
    </row>
    <row r="478" spans="1:28" ht="15" customHeight="1" x14ac:dyDescent="0.25">
      <c r="A478" s="12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4"/>
      <c r="O478" s="12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4"/>
    </row>
    <row r="479" spans="1:28" ht="15" customHeight="1" x14ac:dyDescent="0.25">
      <c r="A479" s="12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4"/>
      <c r="O479" s="12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4"/>
    </row>
    <row r="480" spans="1:28" ht="15" customHeight="1" x14ac:dyDescent="0.25">
      <c r="A480" s="12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4"/>
      <c r="O480" s="12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4"/>
    </row>
    <row r="481" spans="1:28" x14ac:dyDescent="0.25">
      <c r="A481" s="2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8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8"/>
    </row>
    <row r="482" spans="1:28" ht="15" customHeight="1" x14ac:dyDescent="0.25">
      <c r="A482" s="18" t="s">
        <v>2</v>
      </c>
      <c r="B482" s="18"/>
      <c r="C482" s="19"/>
      <c r="D482" s="19"/>
      <c r="E482" s="19"/>
      <c r="F482" s="19"/>
      <c r="G482" s="19"/>
      <c r="H482" s="19"/>
      <c r="I482" s="20" t="s">
        <v>1</v>
      </c>
      <c r="J482" s="20"/>
      <c r="K482" s="20"/>
      <c r="L482" s="20"/>
      <c r="M482" s="3"/>
      <c r="N482" s="8"/>
      <c r="O482" s="18" t="s">
        <v>2</v>
      </c>
      <c r="P482" s="18"/>
      <c r="Q482" s="19"/>
      <c r="R482" s="19"/>
      <c r="S482" s="19"/>
      <c r="T482" s="19"/>
      <c r="U482" s="19"/>
      <c r="V482" s="19"/>
      <c r="W482" s="20" t="s">
        <v>1</v>
      </c>
      <c r="X482" s="20"/>
      <c r="Y482" s="20"/>
      <c r="Z482" s="20"/>
      <c r="AA482" s="3"/>
      <c r="AB482" s="8"/>
    </row>
    <row r="483" spans="1:28" ht="15" customHeight="1" x14ac:dyDescent="0.25">
      <c r="A483" s="21" t="s">
        <v>3</v>
      </c>
      <c r="B483" s="21"/>
      <c r="C483" s="19"/>
      <c r="D483" s="19"/>
      <c r="E483" s="19"/>
      <c r="F483" s="19"/>
      <c r="G483" s="19"/>
      <c r="H483" s="19"/>
      <c r="I483" s="20"/>
      <c r="J483" s="20"/>
      <c r="K483" s="20"/>
      <c r="L483" s="20"/>
      <c r="M483" s="3"/>
      <c r="N483" s="8"/>
      <c r="O483" s="21" t="s">
        <v>3</v>
      </c>
      <c r="P483" s="21"/>
      <c r="Q483" s="19"/>
      <c r="R483" s="19"/>
      <c r="S483" s="19"/>
      <c r="T483" s="19"/>
      <c r="U483" s="19"/>
      <c r="V483" s="19"/>
      <c r="W483" s="20"/>
      <c r="X483" s="20"/>
      <c r="Y483" s="20"/>
      <c r="Z483" s="20"/>
      <c r="AA483" s="3"/>
      <c r="AB483" s="8"/>
    </row>
    <row r="484" spans="1:28" x14ac:dyDescent="0.25">
      <c r="A484" s="4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9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9"/>
    </row>
    <row r="485" spans="1:28" ht="15" customHeight="1" x14ac:dyDescent="0.45">
      <c r="A485" s="15">
        <f ca="1">TODAY()</f>
        <v>42945</v>
      </c>
      <c r="B485" s="16"/>
      <c r="C485" s="16"/>
      <c r="D485" s="6"/>
      <c r="E485" s="6"/>
      <c r="F485" s="6"/>
      <c r="G485" s="6"/>
      <c r="H485" s="7"/>
      <c r="I485" s="17" t="s">
        <v>0</v>
      </c>
      <c r="J485" s="17"/>
      <c r="K485" s="11"/>
      <c r="L485" s="11"/>
      <c r="M485" s="11"/>
      <c r="N485" s="6"/>
      <c r="O485" s="15">
        <f ca="1">TODAY()</f>
        <v>42945</v>
      </c>
      <c r="P485" s="16"/>
      <c r="Q485" s="16"/>
      <c r="R485" s="6"/>
      <c r="S485" s="6"/>
      <c r="T485" s="6"/>
      <c r="U485" s="6"/>
      <c r="V485" s="7"/>
      <c r="W485" s="17" t="s">
        <v>0</v>
      </c>
      <c r="X485" s="17"/>
      <c r="Y485" s="11"/>
      <c r="Z485" s="11"/>
      <c r="AA485" s="11"/>
      <c r="AB485" s="6"/>
    </row>
    <row r="486" spans="1:28" x14ac:dyDescent="0.25">
      <c r="A486" s="2"/>
      <c r="B486" s="3"/>
      <c r="C486" s="3"/>
      <c r="D486" s="3"/>
      <c r="E486" s="3"/>
      <c r="F486" s="3"/>
      <c r="G486" s="3"/>
      <c r="H486" s="3"/>
      <c r="I486" s="3"/>
      <c r="J486" s="3"/>
      <c r="K486" s="3" t="str">
        <f>EncodeBarcode(1,K485,K485,50,1,0,2)</f>
        <v/>
      </c>
      <c r="L486" s="3"/>
      <c r="M486" s="3"/>
      <c r="N486" s="3"/>
      <c r="O486" s="2"/>
      <c r="P486" s="3"/>
      <c r="Q486" s="3"/>
      <c r="R486" s="3"/>
      <c r="S486" s="3"/>
      <c r="T486" s="3"/>
      <c r="U486" s="3"/>
      <c r="V486" s="3"/>
      <c r="W486" s="3"/>
      <c r="X486" s="3"/>
      <c r="Y486" s="3" t="str">
        <f>EncodeBarcode(1,Y485,Y485,50,1,0,2)</f>
        <v/>
      </c>
      <c r="Z486" s="3"/>
      <c r="AA486" s="3"/>
      <c r="AB486" s="3"/>
    </row>
    <row r="487" spans="1:28" ht="15" customHeight="1" x14ac:dyDescent="0.25">
      <c r="A487" s="12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4"/>
      <c r="O487" s="12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4"/>
    </row>
    <row r="488" spans="1:28" ht="15" customHeight="1" x14ac:dyDescent="0.25">
      <c r="A488" s="12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4"/>
      <c r="O488" s="12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4"/>
    </row>
    <row r="489" spans="1:28" ht="15" customHeight="1" x14ac:dyDescent="0.25">
      <c r="A489" s="12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4"/>
      <c r="O489" s="12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4"/>
    </row>
    <row r="490" spans="1:28" ht="15" customHeight="1" x14ac:dyDescent="0.25">
      <c r="A490" s="12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4"/>
      <c r="O490" s="12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4"/>
    </row>
    <row r="491" spans="1:28" ht="15" customHeight="1" x14ac:dyDescent="0.25">
      <c r="A491" s="12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4"/>
      <c r="O491" s="12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4"/>
    </row>
    <row r="492" spans="1:28" x14ac:dyDescent="0.25">
      <c r="A492" s="2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8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8"/>
    </row>
    <row r="493" spans="1:28" ht="15" customHeight="1" x14ac:dyDescent="0.25">
      <c r="A493" s="18" t="s">
        <v>2</v>
      </c>
      <c r="B493" s="18"/>
      <c r="C493" s="19"/>
      <c r="D493" s="19"/>
      <c r="E493" s="19"/>
      <c r="F493" s="19"/>
      <c r="G493" s="19"/>
      <c r="H493" s="19"/>
      <c r="I493" s="20" t="s">
        <v>1</v>
      </c>
      <c r="J493" s="20"/>
      <c r="K493" s="20"/>
      <c r="L493" s="20"/>
      <c r="M493" s="3"/>
      <c r="N493" s="8"/>
      <c r="O493" s="18" t="s">
        <v>2</v>
      </c>
      <c r="P493" s="18"/>
      <c r="Q493" s="19"/>
      <c r="R493" s="19"/>
      <c r="S493" s="19"/>
      <c r="T493" s="19"/>
      <c r="U493" s="19"/>
      <c r="V493" s="19"/>
      <c r="W493" s="20" t="s">
        <v>1</v>
      </c>
      <c r="X493" s="20"/>
      <c r="Y493" s="20"/>
      <c r="Z493" s="20"/>
      <c r="AA493" s="3"/>
      <c r="AB493" s="8"/>
    </row>
    <row r="494" spans="1:28" ht="15" customHeight="1" x14ac:dyDescent="0.25">
      <c r="A494" s="21" t="s">
        <v>3</v>
      </c>
      <c r="B494" s="21"/>
      <c r="C494" s="19"/>
      <c r="D494" s="19"/>
      <c r="E494" s="19"/>
      <c r="F494" s="19"/>
      <c r="G494" s="19"/>
      <c r="H494" s="19"/>
      <c r="I494" s="20"/>
      <c r="J494" s="20"/>
      <c r="K494" s="20"/>
      <c r="L494" s="20"/>
      <c r="M494" s="3"/>
      <c r="N494" s="8"/>
      <c r="O494" s="21" t="s">
        <v>3</v>
      </c>
      <c r="P494" s="21"/>
      <c r="Q494" s="19"/>
      <c r="R494" s="19"/>
      <c r="S494" s="19"/>
      <c r="T494" s="19"/>
      <c r="U494" s="19"/>
      <c r="V494" s="19"/>
      <c r="W494" s="20"/>
      <c r="X494" s="20"/>
      <c r="Y494" s="20"/>
      <c r="Z494" s="20"/>
      <c r="AA494" s="3"/>
      <c r="AB494" s="8"/>
    </row>
    <row r="495" spans="1:28" x14ac:dyDescent="0.25">
      <c r="A495" s="4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9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9"/>
    </row>
    <row r="496" spans="1:28" ht="15" customHeight="1" x14ac:dyDescent="0.45">
      <c r="A496" s="15">
        <f ca="1">TODAY()</f>
        <v>42945</v>
      </c>
      <c r="B496" s="16"/>
      <c r="C496" s="16"/>
      <c r="D496" s="6"/>
      <c r="E496" s="6"/>
      <c r="F496" s="6"/>
      <c r="G496" s="6"/>
      <c r="H496" s="7"/>
      <c r="I496" s="17" t="s">
        <v>0</v>
      </c>
      <c r="J496" s="17"/>
      <c r="K496" s="11"/>
      <c r="L496" s="11"/>
      <c r="M496" s="11"/>
      <c r="N496" s="6"/>
      <c r="O496" s="15">
        <f ca="1">TODAY()</f>
        <v>42945</v>
      </c>
      <c r="P496" s="16"/>
      <c r="Q496" s="16"/>
      <c r="R496" s="6"/>
      <c r="S496" s="6"/>
      <c r="T496" s="6"/>
      <c r="U496" s="6"/>
      <c r="V496" s="7"/>
      <c r="W496" s="17" t="s">
        <v>0</v>
      </c>
      <c r="X496" s="17"/>
      <c r="Y496" s="11"/>
      <c r="Z496" s="11"/>
      <c r="AA496" s="11"/>
      <c r="AB496" s="6"/>
    </row>
    <row r="497" spans="1:28" x14ac:dyDescent="0.25">
      <c r="A497" s="2"/>
      <c r="B497" s="3"/>
      <c r="C497" s="3"/>
      <c r="D497" s="3"/>
      <c r="E497" s="3"/>
      <c r="F497" s="3"/>
      <c r="G497" s="3"/>
      <c r="H497" s="3"/>
      <c r="I497" s="3"/>
      <c r="J497" s="3"/>
      <c r="K497" s="3" t="str">
        <f>EncodeBarcode(1,K496,K496,50,1,0,2)</f>
        <v/>
      </c>
      <c r="L497" s="3"/>
      <c r="M497" s="3"/>
      <c r="N497" s="3"/>
      <c r="O497" s="2"/>
      <c r="P497" s="3"/>
      <c r="Q497" s="3"/>
      <c r="R497" s="3"/>
      <c r="S497" s="3"/>
      <c r="T497" s="3"/>
      <c r="U497" s="3"/>
      <c r="V497" s="3"/>
      <c r="W497" s="3"/>
      <c r="X497" s="3"/>
      <c r="Y497" s="3" t="str">
        <f>EncodeBarcode(1,Y496,Y496,50,1,0,2)</f>
        <v/>
      </c>
      <c r="Z497" s="3"/>
      <c r="AA497" s="3"/>
      <c r="AB497" s="3"/>
    </row>
    <row r="498" spans="1:28" ht="15" customHeight="1" x14ac:dyDescent="0.25">
      <c r="A498" s="12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4"/>
      <c r="O498" s="12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4"/>
    </row>
    <row r="499" spans="1:28" ht="15" customHeight="1" x14ac:dyDescent="0.25">
      <c r="A499" s="12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4"/>
      <c r="O499" s="12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4"/>
    </row>
    <row r="500" spans="1:28" ht="15" customHeight="1" x14ac:dyDescent="0.25">
      <c r="A500" s="12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4"/>
      <c r="O500" s="12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4"/>
    </row>
    <row r="501" spans="1:28" ht="15" customHeight="1" x14ac:dyDescent="0.25">
      <c r="A501" s="12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4"/>
      <c r="O501" s="12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4"/>
    </row>
    <row r="502" spans="1:28" ht="15" customHeight="1" x14ac:dyDescent="0.25">
      <c r="A502" s="12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4"/>
      <c r="O502" s="12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4"/>
    </row>
    <row r="503" spans="1:28" x14ac:dyDescent="0.25">
      <c r="A503" s="2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8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8"/>
    </row>
    <row r="504" spans="1:28" ht="15" customHeight="1" x14ac:dyDescent="0.25">
      <c r="A504" s="18" t="s">
        <v>2</v>
      </c>
      <c r="B504" s="18"/>
      <c r="C504" s="19"/>
      <c r="D504" s="19"/>
      <c r="E504" s="19"/>
      <c r="F504" s="19"/>
      <c r="G504" s="19"/>
      <c r="H504" s="19"/>
      <c r="I504" s="20" t="s">
        <v>1</v>
      </c>
      <c r="J504" s="20"/>
      <c r="K504" s="20"/>
      <c r="L504" s="20"/>
      <c r="M504" s="3"/>
      <c r="N504" s="8"/>
      <c r="O504" s="18" t="s">
        <v>2</v>
      </c>
      <c r="P504" s="18"/>
      <c r="Q504" s="19"/>
      <c r="R504" s="19"/>
      <c r="S504" s="19"/>
      <c r="T504" s="19"/>
      <c r="U504" s="19"/>
      <c r="V504" s="19"/>
      <c r="W504" s="20" t="s">
        <v>1</v>
      </c>
      <c r="X504" s="20"/>
      <c r="Y504" s="20"/>
      <c r="Z504" s="20"/>
      <c r="AA504" s="3"/>
      <c r="AB504" s="8"/>
    </row>
    <row r="505" spans="1:28" ht="15" customHeight="1" x14ac:dyDescent="0.25">
      <c r="A505" s="21" t="s">
        <v>3</v>
      </c>
      <c r="B505" s="21"/>
      <c r="C505" s="19"/>
      <c r="D505" s="19"/>
      <c r="E505" s="19"/>
      <c r="F505" s="19"/>
      <c r="G505" s="19"/>
      <c r="H505" s="19"/>
      <c r="I505" s="20"/>
      <c r="J505" s="20"/>
      <c r="K505" s="20"/>
      <c r="L505" s="20"/>
      <c r="M505" s="3"/>
      <c r="N505" s="8"/>
      <c r="O505" s="21" t="s">
        <v>3</v>
      </c>
      <c r="P505" s="21"/>
      <c r="Q505" s="19"/>
      <c r="R505" s="19"/>
      <c r="S505" s="19"/>
      <c r="T505" s="19"/>
      <c r="U505" s="19"/>
      <c r="V505" s="19"/>
      <c r="W505" s="20"/>
      <c r="X505" s="20"/>
      <c r="Y505" s="20"/>
      <c r="Z505" s="20"/>
      <c r="AA505" s="3"/>
      <c r="AB505" s="8"/>
    </row>
    <row r="506" spans="1:28" x14ac:dyDescent="0.25">
      <c r="A506" s="4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9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9"/>
    </row>
    <row r="507" spans="1:28" ht="15" customHeight="1" x14ac:dyDescent="0.45">
      <c r="A507" s="15">
        <f ca="1">TODAY()</f>
        <v>42945</v>
      </c>
      <c r="B507" s="16"/>
      <c r="C507" s="16"/>
      <c r="D507" s="6"/>
      <c r="E507" s="6"/>
      <c r="F507" s="6"/>
      <c r="G507" s="6"/>
      <c r="H507" s="7"/>
      <c r="I507" s="17" t="s">
        <v>0</v>
      </c>
      <c r="J507" s="17"/>
      <c r="K507" s="11"/>
      <c r="L507" s="11"/>
      <c r="M507" s="11"/>
      <c r="N507" s="6"/>
      <c r="O507" s="15">
        <f ca="1">TODAY()</f>
        <v>42945</v>
      </c>
      <c r="P507" s="16"/>
      <c r="Q507" s="16"/>
      <c r="R507" s="6"/>
      <c r="S507" s="6"/>
      <c r="T507" s="6"/>
      <c r="U507" s="6"/>
      <c r="V507" s="7"/>
      <c r="W507" s="17" t="s">
        <v>0</v>
      </c>
      <c r="X507" s="17"/>
      <c r="Y507" s="11"/>
      <c r="Z507" s="11"/>
      <c r="AA507" s="11"/>
      <c r="AB507" s="6"/>
    </row>
    <row r="508" spans="1:28" x14ac:dyDescent="0.25">
      <c r="A508" s="2"/>
      <c r="B508" s="3"/>
      <c r="C508" s="3"/>
      <c r="D508" s="3"/>
      <c r="E508" s="3"/>
      <c r="F508" s="3"/>
      <c r="G508" s="3"/>
      <c r="H508" s="3"/>
      <c r="I508" s="3"/>
      <c r="J508" s="3"/>
      <c r="K508" s="3" t="str">
        <f>EncodeBarcode(1,K507,K507,50,1,0,2)</f>
        <v/>
      </c>
      <c r="L508" s="3"/>
      <c r="M508" s="3"/>
      <c r="N508" s="3"/>
      <c r="O508" s="2"/>
      <c r="P508" s="3"/>
      <c r="Q508" s="3"/>
      <c r="R508" s="3"/>
      <c r="S508" s="3"/>
      <c r="T508" s="3"/>
      <c r="U508" s="3"/>
      <c r="V508" s="3"/>
      <c r="W508" s="3"/>
      <c r="X508" s="3"/>
      <c r="Y508" s="3" t="str">
        <f>EncodeBarcode(1,Y507,Y507,50,1,0,2)</f>
        <v/>
      </c>
      <c r="Z508" s="3"/>
      <c r="AA508" s="3"/>
      <c r="AB508" s="3"/>
    </row>
    <row r="509" spans="1:28" ht="15" customHeight="1" x14ac:dyDescent="0.25">
      <c r="A509" s="12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4"/>
      <c r="O509" s="12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4"/>
    </row>
    <row r="510" spans="1:28" ht="15" customHeight="1" x14ac:dyDescent="0.25">
      <c r="A510" s="12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4"/>
      <c r="O510" s="12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4"/>
    </row>
    <row r="511" spans="1:28" ht="15" customHeight="1" x14ac:dyDescent="0.25">
      <c r="A511" s="12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4"/>
      <c r="O511" s="12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4"/>
    </row>
    <row r="512" spans="1:28" ht="15" customHeight="1" x14ac:dyDescent="0.25">
      <c r="A512" s="12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4"/>
      <c r="O512" s="12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4"/>
    </row>
    <row r="513" spans="1:28" ht="15" customHeight="1" x14ac:dyDescent="0.25">
      <c r="A513" s="12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4"/>
      <c r="O513" s="12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4"/>
    </row>
    <row r="514" spans="1:28" x14ac:dyDescent="0.25">
      <c r="A514" s="2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8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8"/>
    </row>
    <row r="515" spans="1:28" ht="15" customHeight="1" x14ac:dyDescent="0.25">
      <c r="A515" s="18" t="s">
        <v>2</v>
      </c>
      <c r="B515" s="18"/>
      <c r="C515" s="19"/>
      <c r="D515" s="19"/>
      <c r="E515" s="19"/>
      <c r="F515" s="19"/>
      <c r="G515" s="19"/>
      <c r="H515" s="19"/>
      <c r="I515" s="20" t="s">
        <v>1</v>
      </c>
      <c r="J515" s="20"/>
      <c r="K515" s="20"/>
      <c r="L515" s="20"/>
      <c r="M515" s="3"/>
      <c r="N515" s="8"/>
      <c r="O515" s="18" t="s">
        <v>2</v>
      </c>
      <c r="P515" s="18"/>
      <c r="Q515" s="19"/>
      <c r="R515" s="19"/>
      <c r="S515" s="19"/>
      <c r="T515" s="19"/>
      <c r="U515" s="19"/>
      <c r="V515" s="19"/>
      <c r="W515" s="20" t="s">
        <v>1</v>
      </c>
      <c r="X515" s="20"/>
      <c r="Y515" s="20"/>
      <c r="Z515" s="20"/>
      <c r="AA515" s="3"/>
      <c r="AB515" s="8"/>
    </row>
    <row r="516" spans="1:28" ht="15" customHeight="1" x14ac:dyDescent="0.25">
      <c r="A516" s="21" t="s">
        <v>3</v>
      </c>
      <c r="B516" s="21"/>
      <c r="C516" s="19"/>
      <c r="D516" s="19"/>
      <c r="E516" s="19"/>
      <c r="F516" s="19"/>
      <c r="G516" s="19"/>
      <c r="H516" s="19"/>
      <c r="I516" s="20"/>
      <c r="J516" s="20"/>
      <c r="K516" s="20"/>
      <c r="L516" s="20"/>
      <c r="M516" s="3"/>
      <c r="N516" s="8"/>
      <c r="O516" s="21" t="s">
        <v>3</v>
      </c>
      <c r="P516" s="21"/>
      <c r="Q516" s="19"/>
      <c r="R516" s="19"/>
      <c r="S516" s="19"/>
      <c r="T516" s="19"/>
      <c r="U516" s="19"/>
      <c r="V516" s="19"/>
      <c r="W516" s="20"/>
      <c r="X516" s="20"/>
      <c r="Y516" s="20"/>
      <c r="Z516" s="20"/>
      <c r="AA516" s="3"/>
      <c r="AB516" s="8"/>
    </row>
    <row r="517" spans="1:28" x14ac:dyDescent="0.25">
      <c r="A517" s="4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9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9"/>
    </row>
    <row r="518" spans="1:28" ht="15" customHeight="1" x14ac:dyDescent="0.45">
      <c r="A518" s="15">
        <f ca="1">TODAY()</f>
        <v>42945</v>
      </c>
      <c r="B518" s="16"/>
      <c r="C518" s="16"/>
      <c r="D518" s="6"/>
      <c r="E518" s="6"/>
      <c r="F518" s="6"/>
      <c r="G518" s="6"/>
      <c r="H518" s="7"/>
      <c r="I518" s="17" t="s">
        <v>0</v>
      </c>
      <c r="J518" s="17"/>
      <c r="K518" s="11"/>
      <c r="L518" s="11"/>
      <c r="M518" s="11"/>
      <c r="N518" s="6"/>
      <c r="O518" s="15">
        <f ca="1">TODAY()</f>
        <v>42945</v>
      </c>
      <c r="P518" s="16"/>
      <c r="Q518" s="16"/>
      <c r="R518" s="6"/>
      <c r="S518" s="6"/>
      <c r="T518" s="6"/>
      <c r="U518" s="6"/>
      <c r="V518" s="7"/>
      <c r="W518" s="17" t="s">
        <v>0</v>
      </c>
      <c r="X518" s="17"/>
      <c r="Y518" s="11"/>
      <c r="Z518" s="11"/>
      <c r="AA518" s="11"/>
      <c r="AB518" s="6"/>
    </row>
    <row r="519" spans="1:28" x14ac:dyDescent="0.25">
      <c r="A519" s="2"/>
      <c r="B519" s="3"/>
      <c r="C519" s="3"/>
      <c r="D519" s="3"/>
      <c r="E519" s="3"/>
      <c r="F519" s="3"/>
      <c r="G519" s="3"/>
      <c r="H519" s="3"/>
      <c r="I519" s="3"/>
      <c r="J519" s="3"/>
      <c r="K519" s="3" t="str">
        <f>EncodeBarcode(1,K518,K518,50,1,0,2)</f>
        <v/>
      </c>
      <c r="L519" s="3"/>
      <c r="M519" s="3"/>
      <c r="N519" s="3"/>
      <c r="O519" s="2"/>
      <c r="P519" s="3"/>
      <c r="Q519" s="3"/>
      <c r="R519" s="3"/>
      <c r="S519" s="3"/>
      <c r="T519" s="3"/>
      <c r="U519" s="3"/>
      <c r="V519" s="3"/>
      <c r="W519" s="3"/>
      <c r="X519" s="3"/>
      <c r="Y519" s="3" t="str">
        <f>EncodeBarcode(1,Y518,Y518,50,1,0,2)</f>
        <v/>
      </c>
      <c r="Z519" s="3"/>
      <c r="AA519" s="3"/>
      <c r="AB519" s="3"/>
    </row>
    <row r="520" spans="1:28" ht="15" customHeight="1" x14ac:dyDescent="0.25">
      <c r="A520" s="12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4"/>
      <c r="O520" s="12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4"/>
    </row>
    <row r="521" spans="1:28" ht="15" customHeight="1" x14ac:dyDescent="0.25">
      <c r="A521" s="12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4"/>
      <c r="O521" s="12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4"/>
    </row>
    <row r="522" spans="1:28" ht="15" customHeight="1" x14ac:dyDescent="0.25">
      <c r="A522" s="12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4"/>
      <c r="O522" s="12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4"/>
    </row>
    <row r="523" spans="1:28" ht="15" customHeight="1" x14ac:dyDescent="0.25">
      <c r="A523" s="12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4"/>
      <c r="O523" s="12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4"/>
    </row>
    <row r="524" spans="1:28" ht="15" customHeight="1" x14ac:dyDescent="0.25">
      <c r="A524" s="12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4"/>
      <c r="O524" s="12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4"/>
    </row>
    <row r="525" spans="1:28" x14ac:dyDescent="0.25">
      <c r="A525" s="2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8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8"/>
    </row>
    <row r="526" spans="1:28" ht="15" customHeight="1" x14ac:dyDescent="0.25">
      <c r="A526" s="18" t="s">
        <v>2</v>
      </c>
      <c r="B526" s="18"/>
      <c r="C526" s="19"/>
      <c r="D526" s="19"/>
      <c r="E526" s="19"/>
      <c r="F526" s="19"/>
      <c r="G526" s="19"/>
      <c r="H526" s="19"/>
      <c r="I526" s="20" t="s">
        <v>1</v>
      </c>
      <c r="J526" s="20"/>
      <c r="K526" s="20"/>
      <c r="L526" s="20"/>
      <c r="M526" s="3"/>
      <c r="N526" s="8"/>
      <c r="O526" s="18" t="s">
        <v>2</v>
      </c>
      <c r="P526" s="18"/>
      <c r="Q526" s="19"/>
      <c r="R526" s="19"/>
      <c r="S526" s="19"/>
      <c r="T526" s="19"/>
      <c r="U526" s="19"/>
      <c r="V526" s="19"/>
      <c r="W526" s="20" t="s">
        <v>1</v>
      </c>
      <c r="X526" s="20"/>
      <c r="Y526" s="20"/>
      <c r="Z526" s="20"/>
      <c r="AA526" s="3"/>
      <c r="AB526" s="8"/>
    </row>
    <row r="527" spans="1:28" ht="15" customHeight="1" x14ac:dyDescent="0.25">
      <c r="A527" s="21" t="s">
        <v>3</v>
      </c>
      <c r="B527" s="21"/>
      <c r="C527" s="19"/>
      <c r="D527" s="19"/>
      <c r="E527" s="19"/>
      <c r="F527" s="19"/>
      <c r="G527" s="19"/>
      <c r="H527" s="19"/>
      <c r="I527" s="20"/>
      <c r="J527" s="20"/>
      <c r="K527" s="20"/>
      <c r="L527" s="20"/>
      <c r="M527" s="3"/>
      <c r="N527" s="8"/>
      <c r="O527" s="21" t="s">
        <v>3</v>
      </c>
      <c r="P527" s="21"/>
      <c r="Q527" s="19"/>
      <c r="R527" s="19"/>
      <c r="S527" s="19"/>
      <c r="T527" s="19"/>
      <c r="U527" s="19"/>
      <c r="V527" s="19"/>
      <c r="W527" s="20"/>
      <c r="X527" s="20"/>
      <c r="Y527" s="20"/>
      <c r="Z527" s="20"/>
      <c r="AA527" s="3"/>
      <c r="AB527" s="8"/>
    </row>
    <row r="528" spans="1:28" x14ac:dyDescent="0.25">
      <c r="A528" s="4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9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9"/>
    </row>
    <row r="529" spans="1:28" ht="15" customHeight="1" x14ac:dyDescent="0.45">
      <c r="A529" s="15">
        <f ca="1">TODAY()</f>
        <v>42945</v>
      </c>
      <c r="B529" s="16"/>
      <c r="C529" s="16"/>
      <c r="D529" s="6"/>
      <c r="E529" s="6"/>
      <c r="F529" s="6"/>
      <c r="G529" s="6"/>
      <c r="H529" s="7"/>
      <c r="I529" s="17" t="s">
        <v>0</v>
      </c>
      <c r="J529" s="17"/>
      <c r="K529" s="11"/>
      <c r="L529" s="11"/>
      <c r="M529" s="11"/>
      <c r="N529" s="6"/>
      <c r="O529" s="15">
        <f ca="1">TODAY()</f>
        <v>42945</v>
      </c>
      <c r="P529" s="16"/>
      <c r="Q529" s="16"/>
      <c r="R529" s="6"/>
      <c r="S529" s="6"/>
      <c r="T529" s="6"/>
      <c r="U529" s="6"/>
      <c r="V529" s="7"/>
      <c r="W529" s="17" t="s">
        <v>0</v>
      </c>
      <c r="X529" s="17"/>
      <c r="Y529" s="11"/>
      <c r="Z529" s="11"/>
      <c r="AA529" s="11"/>
      <c r="AB529" s="6"/>
    </row>
    <row r="530" spans="1:28" x14ac:dyDescent="0.25">
      <c r="A530" s="2"/>
      <c r="B530" s="3"/>
      <c r="C530" s="3"/>
      <c r="D530" s="3"/>
      <c r="E530" s="3"/>
      <c r="F530" s="3"/>
      <c r="G530" s="3"/>
      <c r="H530" s="3"/>
      <c r="I530" s="3"/>
      <c r="J530" s="3"/>
      <c r="K530" s="3" t="str">
        <f>EncodeBarcode(1,K529,K529,50,1,0,2)</f>
        <v/>
      </c>
      <c r="L530" s="3"/>
      <c r="M530" s="3"/>
      <c r="N530" s="3"/>
      <c r="O530" s="2"/>
      <c r="P530" s="3"/>
      <c r="Q530" s="3"/>
      <c r="R530" s="3"/>
      <c r="S530" s="3"/>
      <c r="T530" s="3"/>
      <c r="U530" s="3"/>
      <c r="V530" s="3"/>
      <c r="W530" s="3"/>
      <c r="X530" s="3"/>
      <c r="Y530" s="3" t="str">
        <f>EncodeBarcode(1,Y529,Y529,50,1,0,2)</f>
        <v/>
      </c>
      <c r="Z530" s="3"/>
      <c r="AA530" s="3"/>
      <c r="AB530" s="3"/>
    </row>
    <row r="531" spans="1:28" ht="15" customHeight="1" x14ac:dyDescent="0.25">
      <c r="A531" s="12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4"/>
      <c r="O531" s="12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4"/>
    </row>
    <row r="532" spans="1:28" ht="15" customHeight="1" x14ac:dyDescent="0.25">
      <c r="A532" s="12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4"/>
      <c r="O532" s="12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4"/>
    </row>
    <row r="533" spans="1:28" ht="15" customHeight="1" x14ac:dyDescent="0.25">
      <c r="A533" s="12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4"/>
      <c r="O533" s="12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4"/>
    </row>
    <row r="534" spans="1:28" ht="15" customHeight="1" x14ac:dyDescent="0.25">
      <c r="A534" s="12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4"/>
      <c r="O534" s="12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4"/>
    </row>
    <row r="535" spans="1:28" ht="15" customHeight="1" x14ac:dyDescent="0.25">
      <c r="A535" s="12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4"/>
      <c r="O535" s="12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4"/>
    </row>
    <row r="536" spans="1:28" x14ac:dyDescent="0.25">
      <c r="A536" s="2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8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8"/>
    </row>
    <row r="537" spans="1:28" ht="15" customHeight="1" x14ac:dyDescent="0.25">
      <c r="A537" s="18" t="s">
        <v>2</v>
      </c>
      <c r="B537" s="18"/>
      <c r="C537" s="19"/>
      <c r="D537" s="19"/>
      <c r="E537" s="19"/>
      <c r="F537" s="19"/>
      <c r="G537" s="19"/>
      <c r="H537" s="19"/>
      <c r="I537" s="20" t="s">
        <v>1</v>
      </c>
      <c r="J537" s="20"/>
      <c r="K537" s="20"/>
      <c r="L537" s="20"/>
      <c r="M537" s="3"/>
      <c r="N537" s="8"/>
      <c r="O537" s="18" t="s">
        <v>2</v>
      </c>
      <c r="P537" s="18"/>
      <c r="Q537" s="19"/>
      <c r="R537" s="19"/>
      <c r="S537" s="19"/>
      <c r="T537" s="19"/>
      <c r="U537" s="19"/>
      <c r="V537" s="19"/>
      <c r="W537" s="20" t="s">
        <v>1</v>
      </c>
      <c r="X537" s="20"/>
      <c r="Y537" s="20"/>
      <c r="Z537" s="20"/>
      <c r="AA537" s="3"/>
      <c r="AB537" s="8"/>
    </row>
    <row r="538" spans="1:28" ht="15" customHeight="1" x14ac:dyDescent="0.25">
      <c r="A538" s="21" t="s">
        <v>3</v>
      </c>
      <c r="B538" s="21"/>
      <c r="C538" s="19"/>
      <c r="D538" s="19"/>
      <c r="E538" s="19"/>
      <c r="F538" s="19"/>
      <c r="G538" s="19"/>
      <c r="H538" s="19"/>
      <c r="I538" s="20"/>
      <c r="J538" s="20"/>
      <c r="K538" s="20"/>
      <c r="L538" s="20"/>
      <c r="M538" s="3"/>
      <c r="N538" s="8"/>
      <c r="O538" s="21" t="s">
        <v>3</v>
      </c>
      <c r="P538" s="21"/>
      <c r="Q538" s="19"/>
      <c r="R538" s="19"/>
      <c r="S538" s="19"/>
      <c r="T538" s="19"/>
      <c r="U538" s="19"/>
      <c r="V538" s="19"/>
      <c r="W538" s="20"/>
      <c r="X538" s="20"/>
      <c r="Y538" s="20"/>
      <c r="Z538" s="20"/>
      <c r="AA538" s="3"/>
      <c r="AB538" s="8"/>
    </row>
    <row r="539" spans="1:28" x14ac:dyDescent="0.25">
      <c r="A539" s="4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9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9"/>
    </row>
    <row r="540" spans="1:28" ht="15" customHeight="1" x14ac:dyDescent="0.45">
      <c r="A540" s="15">
        <f ca="1">TODAY()</f>
        <v>42945</v>
      </c>
      <c r="B540" s="16"/>
      <c r="C540" s="16"/>
      <c r="D540" s="6"/>
      <c r="E540" s="6"/>
      <c r="F540" s="6"/>
      <c r="G540" s="6"/>
      <c r="H540" s="7"/>
      <c r="I540" s="17" t="s">
        <v>0</v>
      </c>
      <c r="J540" s="17"/>
      <c r="K540" s="11"/>
      <c r="L540" s="11"/>
      <c r="M540" s="11"/>
      <c r="N540" s="6"/>
      <c r="O540" s="15">
        <f ca="1">TODAY()</f>
        <v>42945</v>
      </c>
      <c r="P540" s="16"/>
      <c r="Q540" s="16"/>
      <c r="R540" s="6"/>
      <c r="S540" s="6"/>
      <c r="T540" s="6"/>
      <c r="U540" s="6"/>
      <c r="V540" s="7"/>
      <c r="W540" s="17" t="s">
        <v>0</v>
      </c>
      <c r="X540" s="17"/>
      <c r="Y540" s="11"/>
      <c r="Z540" s="11"/>
      <c r="AA540" s="11"/>
      <c r="AB540" s="6"/>
    </row>
    <row r="541" spans="1:28" x14ac:dyDescent="0.25">
      <c r="A541" s="2"/>
      <c r="B541" s="3"/>
      <c r="C541" s="3"/>
      <c r="D541" s="3"/>
      <c r="E541" s="3"/>
      <c r="F541" s="3"/>
      <c r="G541" s="3"/>
      <c r="H541" s="3"/>
      <c r="I541" s="3"/>
      <c r="J541" s="3"/>
      <c r="K541" s="3" t="str">
        <f>EncodeBarcode(1,K540,K540,50,1,0,2)</f>
        <v/>
      </c>
      <c r="L541" s="3"/>
      <c r="M541" s="3"/>
      <c r="N541" s="3"/>
      <c r="O541" s="2"/>
      <c r="P541" s="3"/>
      <c r="Q541" s="3"/>
      <c r="R541" s="3"/>
      <c r="S541" s="3"/>
      <c r="T541" s="3"/>
      <c r="U541" s="3"/>
      <c r="V541" s="3"/>
      <c r="W541" s="3"/>
      <c r="X541" s="3"/>
      <c r="Y541" s="3" t="str">
        <f>EncodeBarcode(1,Y540,Y540,50,1,0,2)</f>
        <v/>
      </c>
      <c r="Z541" s="3"/>
      <c r="AA541" s="3"/>
      <c r="AB541" s="3"/>
    </row>
    <row r="542" spans="1:28" ht="15" customHeight="1" x14ac:dyDescent="0.25">
      <c r="A542" s="12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4"/>
      <c r="O542" s="12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4"/>
    </row>
    <row r="543" spans="1:28" ht="15" customHeight="1" x14ac:dyDescent="0.25">
      <c r="A543" s="12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4"/>
      <c r="O543" s="12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4"/>
    </row>
    <row r="544" spans="1:28" ht="15" customHeight="1" x14ac:dyDescent="0.25">
      <c r="A544" s="12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4"/>
      <c r="O544" s="12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4"/>
    </row>
    <row r="545" spans="1:28" ht="15" customHeight="1" x14ac:dyDescent="0.25">
      <c r="A545" s="12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4"/>
      <c r="O545" s="12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4"/>
    </row>
    <row r="546" spans="1:28" ht="15" customHeight="1" x14ac:dyDescent="0.25">
      <c r="A546" s="12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4"/>
      <c r="O546" s="12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4"/>
    </row>
    <row r="547" spans="1:28" x14ac:dyDescent="0.25">
      <c r="A547" s="2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8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8"/>
    </row>
    <row r="548" spans="1:28" ht="15" customHeight="1" x14ac:dyDescent="0.25">
      <c r="A548" s="18" t="s">
        <v>2</v>
      </c>
      <c r="B548" s="18"/>
      <c r="C548" s="19"/>
      <c r="D548" s="19"/>
      <c r="E548" s="19"/>
      <c r="F548" s="19"/>
      <c r="G548" s="19"/>
      <c r="H548" s="19"/>
      <c r="I548" s="20" t="s">
        <v>1</v>
      </c>
      <c r="J548" s="20"/>
      <c r="K548" s="20"/>
      <c r="L548" s="20"/>
      <c r="M548" s="3"/>
      <c r="N548" s="8"/>
      <c r="O548" s="18" t="s">
        <v>2</v>
      </c>
      <c r="P548" s="18"/>
      <c r="Q548" s="19"/>
      <c r="R548" s="19"/>
      <c r="S548" s="19"/>
      <c r="T548" s="19"/>
      <c r="U548" s="19"/>
      <c r="V548" s="19"/>
      <c r="W548" s="20" t="s">
        <v>1</v>
      </c>
      <c r="X548" s="20"/>
      <c r="Y548" s="20"/>
      <c r="Z548" s="20"/>
      <c r="AA548" s="3"/>
      <c r="AB548" s="8"/>
    </row>
    <row r="549" spans="1:28" ht="15" customHeight="1" x14ac:dyDescent="0.25">
      <c r="A549" s="21" t="s">
        <v>3</v>
      </c>
      <c r="B549" s="21"/>
      <c r="C549" s="19"/>
      <c r="D549" s="19"/>
      <c r="E549" s="19"/>
      <c r="F549" s="19"/>
      <c r="G549" s="19"/>
      <c r="H549" s="19"/>
      <c r="I549" s="20"/>
      <c r="J549" s="20"/>
      <c r="K549" s="20"/>
      <c r="L549" s="20"/>
      <c r="M549" s="3"/>
      <c r="N549" s="8"/>
      <c r="O549" s="21" t="s">
        <v>3</v>
      </c>
      <c r="P549" s="21"/>
      <c r="Q549" s="19"/>
      <c r="R549" s="19"/>
      <c r="S549" s="19"/>
      <c r="T549" s="19"/>
      <c r="U549" s="19"/>
      <c r="V549" s="19"/>
      <c r="W549" s="20"/>
      <c r="X549" s="20"/>
      <c r="Y549" s="20"/>
      <c r="Z549" s="20"/>
      <c r="AA549" s="3"/>
      <c r="AB549" s="8"/>
    </row>
    <row r="550" spans="1:28" x14ac:dyDescent="0.25">
      <c r="A550" s="4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9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9"/>
    </row>
  </sheetData>
  <mergeCells count="800">
    <mergeCell ref="O1:Q1"/>
    <mergeCell ref="W1:X1"/>
    <mergeCell ref="Y1:AA1"/>
    <mergeCell ref="O3:AB7"/>
    <mergeCell ref="A10:B10"/>
    <mergeCell ref="A3:N7"/>
    <mergeCell ref="A1:C1"/>
    <mergeCell ref="I1:J1"/>
    <mergeCell ref="K1:M1"/>
    <mergeCell ref="A9:B9"/>
    <mergeCell ref="O9:P9"/>
    <mergeCell ref="O10:P10"/>
    <mergeCell ref="C9:H10"/>
    <mergeCell ref="I9:L10"/>
    <mergeCell ref="Q9:V10"/>
    <mergeCell ref="W9:Z10"/>
    <mergeCell ref="O12:Q12"/>
    <mergeCell ref="W12:X12"/>
    <mergeCell ref="Y12:AA12"/>
    <mergeCell ref="O14:AB18"/>
    <mergeCell ref="A12:C12"/>
    <mergeCell ref="I12:J12"/>
    <mergeCell ref="K12:M12"/>
    <mergeCell ref="A14:N18"/>
    <mergeCell ref="A20:B20"/>
    <mergeCell ref="C20:H21"/>
    <mergeCell ref="I20:L21"/>
    <mergeCell ref="O20:P20"/>
    <mergeCell ref="Q20:V21"/>
    <mergeCell ref="W20:Z21"/>
    <mergeCell ref="A21:B21"/>
    <mergeCell ref="O21:P21"/>
    <mergeCell ref="O23:Q23"/>
    <mergeCell ref="W23:X23"/>
    <mergeCell ref="Y23:AA23"/>
    <mergeCell ref="O25:AB29"/>
    <mergeCell ref="A23:C23"/>
    <mergeCell ref="I23:J23"/>
    <mergeCell ref="K23:M23"/>
    <mergeCell ref="A25:N29"/>
    <mergeCell ref="A31:B31"/>
    <mergeCell ref="C31:H32"/>
    <mergeCell ref="I31:L32"/>
    <mergeCell ref="O31:P31"/>
    <mergeCell ref="Q31:V32"/>
    <mergeCell ref="W31:Z32"/>
    <mergeCell ref="A32:B32"/>
    <mergeCell ref="O32:P32"/>
    <mergeCell ref="O34:Q34"/>
    <mergeCell ref="W34:X34"/>
    <mergeCell ref="Y34:AA34"/>
    <mergeCell ref="O36:AB40"/>
    <mergeCell ref="A34:C34"/>
    <mergeCell ref="I34:J34"/>
    <mergeCell ref="K34:M34"/>
    <mergeCell ref="A36:N40"/>
    <mergeCell ref="A42:B42"/>
    <mergeCell ref="C42:H43"/>
    <mergeCell ref="I42:L43"/>
    <mergeCell ref="O42:P42"/>
    <mergeCell ref="Q42:V43"/>
    <mergeCell ref="W42:Z43"/>
    <mergeCell ref="A43:B43"/>
    <mergeCell ref="O43:P43"/>
    <mergeCell ref="O45:Q45"/>
    <mergeCell ref="W45:X45"/>
    <mergeCell ref="Y45:AA45"/>
    <mergeCell ref="O47:AB51"/>
    <mergeCell ref="A45:C45"/>
    <mergeCell ref="I45:J45"/>
    <mergeCell ref="K45:M45"/>
    <mergeCell ref="A47:N51"/>
    <mergeCell ref="A53:B53"/>
    <mergeCell ref="C53:H54"/>
    <mergeCell ref="I53:L54"/>
    <mergeCell ref="O53:P53"/>
    <mergeCell ref="Q53:V54"/>
    <mergeCell ref="W53:Z54"/>
    <mergeCell ref="A54:B54"/>
    <mergeCell ref="O54:P54"/>
    <mergeCell ref="Y56:AA56"/>
    <mergeCell ref="A58:N62"/>
    <mergeCell ref="O58:AB62"/>
    <mergeCell ref="A56:C56"/>
    <mergeCell ref="I56:J56"/>
    <mergeCell ref="K56:M56"/>
    <mergeCell ref="O56:Q56"/>
    <mergeCell ref="W56:X56"/>
    <mergeCell ref="A64:B64"/>
    <mergeCell ref="C64:H65"/>
    <mergeCell ref="I64:L65"/>
    <mergeCell ref="O64:P64"/>
    <mergeCell ref="Q64:V65"/>
    <mergeCell ref="W64:Z65"/>
    <mergeCell ref="A65:B65"/>
    <mergeCell ref="O65:P65"/>
    <mergeCell ref="Y67:AA67"/>
    <mergeCell ref="A69:N73"/>
    <mergeCell ref="O69:AB73"/>
    <mergeCell ref="A67:C67"/>
    <mergeCell ref="I67:J67"/>
    <mergeCell ref="K67:M67"/>
    <mergeCell ref="O67:Q67"/>
    <mergeCell ref="W67:X67"/>
    <mergeCell ref="A75:B75"/>
    <mergeCell ref="C75:H76"/>
    <mergeCell ref="I75:L76"/>
    <mergeCell ref="O75:P75"/>
    <mergeCell ref="Q75:V76"/>
    <mergeCell ref="W75:Z76"/>
    <mergeCell ref="A76:B76"/>
    <mergeCell ref="O76:P76"/>
    <mergeCell ref="Y78:AA78"/>
    <mergeCell ref="A80:N84"/>
    <mergeCell ref="O80:AB84"/>
    <mergeCell ref="A78:C78"/>
    <mergeCell ref="I78:J78"/>
    <mergeCell ref="K78:M78"/>
    <mergeCell ref="O78:Q78"/>
    <mergeCell ref="W78:X78"/>
    <mergeCell ref="A86:B86"/>
    <mergeCell ref="C86:H87"/>
    <mergeCell ref="I86:L87"/>
    <mergeCell ref="O86:P86"/>
    <mergeCell ref="Q86:V87"/>
    <mergeCell ref="W86:Z87"/>
    <mergeCell ref="A87:B87"/>
    <mergeCell ref="O87:P87"/>
    <mergeCell ref="Y89:AA89"/>
    <mergeCell ref="A91:N95"/>
    <mergeCell ref="O91:AB95"/>
    <mergeCell ref="A89:C89"/>
    <mergeCell ref="I89:J89"/>
    <mergeCell ref="K89:M89"/>
    <mergeCell ref="O89:Q89"/>
    <mergeCell ref="W89:X89"/>
    <mergeCell ref="A97:B97"/>
    <mergeCell ref="C97:H98"/>
    <mergeCell ref="I97:L98"/>
    <mergeCell ref="O97:P97"/>
    <mergeCell ref="Q97:V98"/>
    <mergeCell ref="W97:Z98"/>
    <mergeCell ref="A98:B98"/>
    <mergeCell ref="O98:P98"/>
    <mergeCell ref="Y100:AA100"/>
    <mergeCell ref="A102:N106"/>
    <mergeCell ref="O102:AB106"/>
    <mergeCell ref="A100:C100"/>
    <mergeCell ref="I100:J100"/>
    <mergeCell ref="K100:M100"/>
    <mergeCell ref="O100:Q100"/>
    <mergeCell ref="W100:X100"/>
    <mergeCell ref="A108:B108"/>
    <mergeCell ref="C108:H109"/>
    <mergeCell ref="I108:L109"/>
    <mergeCell ref="O108:P108"/>
    <mergeCell ref="Q108:V109"/>
    <mergeCell ref="W108:Z109"/>
    <mergeCell ref="A109:B109"/>
    <mergeCell ref="O109:P109"/>
    <mergeCell ref="Y111:AA111"/>
    <mergeCell ref="A113:N117"/>
    <mergeCell ref="O113:AB117"/>
    <mergeCell ref="A111:C111"/>
    <mergeCell ref="I111:J111"/>
    <mergeCell ref="K111:M111"/>
    <mergeCell ref="O111:Q111"/>
    <mergeCell ref="W111:X111"/>
    <mergeCell ref="A119:B119"/>
    <mergeCell ref="C119:H120"/>
    <mergeCell ref="I119:L120"/>
    <mergeCell ref="O119:P119"/>
    <mergeCell ref="Q119:V120"/>
    <mergeCell ref="W119:Z120"/>
    <mergeCell ref="A120:B120"/>
    <mergeCell ref="O120:P120"/>
    <mergeCell ref="Y122:AA122"/>
    <mergeCell ref="A124:N128"/>
    <mergeCell ref="O124:AB128"/>
    <mergeCell ref="A122:C122"/>
    <mergeCell ref="I122:J122"/>
    <mergeCell ref="K122:M122"/>
    <mergeCell ref="O122:Q122"/>
    <mergeCell ref="W122:X122"/>
    <mergeCell ref="A130:B130"/>
    <mergeCell ref="C130:H131"/>
    <mergeCell ref="I130:L131"/>
    <mergeCell ref="O130:P130"/>
    <mergeCell ref="Q130:V131"/>
    <mergeCell ref="W130:Z131"/>
    <mergeCell ref="A131:B131"/>
    <mergeCell ref="O131:P131"/>
    <mergeCell ref="Y133:AA133"/>
    <mergeCell ref="A135:N139"/>
    <mergeCell ref="O135:AB139"/>
    <mergeCell ref="A133:C133"/>
    <mergeCell ref="I133:J133"/>
    <mergeCell ref="K133:M133"/>
    <mergeCell ref="O133:Q133"/>
    <mergeCell ref="W133:X133"/>
    <mergeCell ref="A141:B141"/>
    <mergeCell ref="C141:H142"/>
    <mergeCell ref="I141:L142"/>
    <mergeCell ref="O141:P141"/>
    <mergeCell ref="Q141:V142"/>
    <mergeCell ref="W141:Z142"/>
    <mergeCell ref="A142:B142"/>
    <mergeCell ref="O142:P142"/>
    <mergeCell ref="Y144:AA144"/>
    <mergeCell ref="A146:N150"/>
    <mergeCell ref="O146:AB150"/>
    <mergeCell ref="A144:C144"/>
    <mergeCell ref="I144:J144"/>
    <mergeCell ref="K144:M144"/>
    <mergeCell ref="O144:Q144"/>
    <mergeCell ref="W144:X144"/>
    <mergeCell ref="A152:B152"/>
    <mergeCell ref="C152:H153"/>
    <mergeCell ref="I152:L153"/>
    <mergeCell ref="O152:P152"/>
    <mergeCell ref="Q152:V153"/>
    <mergeCell ref="W152:Z153"/>
    <mergeCell ref="A153:B153"/>
    <mergeCell ref="O153:P153"/>
    <mergeCell ref="Y155:AA155"/>
    <mergeCell ref="A157:N161"/>
    <mergeCell ref="O157:AB161"/>
    <mergeCell ref="A155:C155"/>
    <mergeCell ref="I155:J155"/>
    <mergeCell ref="K155:M155"/>
    <mergeCell ref="O155:Q155"/>
    <mergeCell ref="W155:X155"/>
    <mergeCell ref="A163:B163"/>
    <mergeCell ref="C163:H164"/>
    <mergeCell ref="I163:L164"/>
    <mergeCell ref="O163:P163"/>
    <mergeCell ref="Q163:V164"/>
    <mergeCell ref="W163:Z164"/>
    <mergeCell ref="A164:B164"/>
    <mergeCell ref="O164:P164"/>
    <mergeCell ref="Y166:AA166"/>
    <mergeCell ref="A168:N172"/>
    <mergeCell ref="O168:AB172"/>
    <mergeCell ref="A166:C166"/>
    <mergeCell ref="I166:J166"/>
    <mergeCell ref="K166:M166"/>
    <mergeCell ref="O166:Q166"/>
    <mergeCell ref="W166:X166"/>
    <mergeCell ref="A174:B174"/>
    <mergeCell ref="C174:H175"/>
    <mergeCell ref="I174:L175"/>
    <mergeCell ref="O174:P174"/>
    <mergeCell ref="Q174:V175"/>
    <mergeCell ref="W174:Z175"/>
    <mergeCell ref="A175:B175"/>
    <mergeCell ref="O175:P175"/>
    <mergeCell ref="Y177:AA177"/>
    <mergeCell ref="A179:N183"/>
    <mergeCell ref="O179:AB183"/>
    <mergeCell ref="A177:C177"/>
    <mergeCell ref="I177:J177"/>
    <mergeCell ref="K177:M177"/>
    <mergeCell ref="O177:Q177"/>
    <mergeCell ref="W177:X177"/>
    <mergeCell ref="A185:B185"/>
    <mergeCell ref="C185:H186"/>
    <mergeCell ref="I185:L186"/>
    <mergeCell ref="O185:P185"/>
    <mergeCell ref="Q185:V186"/>
    <mergeCell ref="W185:Z186"/>
    <mergeCell ref="A186:B186"/>
    <mergeCell ref="O186:P186"/>
    <mergeCell ref="Y188:AA188"/>
    <mergeCell ref="A190:N194"/>
    <mergeCell ref="O190:AB194"/>
    <mergeCell ref="A188:C188"/>
    <mergeCell ref="I188:J188"/>
    <mergeCell ref="K188:M188"/>
    <mergeCell ref="O188:Q188"/>
    <mergeCell ref="W188:X188"/>
    <mergeCell ref="A196:B196"/>
    <mergeCell ref="C196:H197"/>
    <mergeCell ref="I196:L197"/>
    <mergeCell ref="O196:P196"/>
    <mergeCell ref="Q196:V197"/>
    <mergeCell ref="W196:Z197"/>
    <mergeCell ref="A197:B197"/>
    <mergeCell ref="O197:P197"/>
    <mergeCell ref="Y199:AA199"/>
    <mergeCell ref="A201:N205"/>
    <mergeCell ref="O201:AB205"/>
    <mergeCell ref="A199:C199"/>
    <mergeCell ref="I199:J199"/>
    <mergeCell ref="K199:M199"/>
    <mergeCell ref="O199:Q199"/>
    <mergeCell ref="W199:X199"/>
    <mergeCell ref="A207:B207"/>
    <mergeCell ref="C207:H208"/>
    <mergeCell ref="I207:L208"/>
    <mergeCell ref="O207:P207"/>
    <mergeCell ref="Q207:V208"/>
    <mergeCell ref="W207:Z208"/>
    <mergeCell ref="A208:B208"/>
    <mergeCell ref="O208:P208"/>
    <mergeCell ref="Y210:AA210"/>
    <mergeCell ref="A212:N216"/>
    <mergeCell ref="O212:AB216"/>
    <mergeCell ref="A210:C210"/>
    <mergeCell ref="I210:J210"/>
    <mergeCell ref="K210:M210"/>
    <mergeCell ref="O210:Q210"/>
    <mergeCell ref="W210:X210"/>
    <mergeCell ref="A218:B218"/>
    <mergeCell ref="C218:H219"/>
    <mergeCell ref="I218:L219"/>
    <mergeCell ref="O218:P218"/>
    <mergeCell ref="Q218:V219"/>
    <mergeCell ref="W218:Z219"/>
    <mergeCell ref="A219:B219"/>
    <mergeCell ref="O219:P219"/>
    <mergeCell ref="Y221:AA221"/>
    <mergeCell ref="A223:N227"/>
    <mergeCell ref="O223:AB227"/>
    <mergeCell ref="A221:C221"/>
    <mergeCell ref="I221:J221"/>
    <mergeCell ref="K221:M221"/>
    <mergeCell ref="O221:Q221"/>
    <mergeCell ref="W221:X221"/>
    <mergeCell ref="A229:B229"/>
    <mergeCell ref="C229:H230"/>
    <mergeCell ref="I229:L230"/>
    <mergeCell ref="O229:P229"/>
    <mergeCell ref="Q229:V230"/>
    <mergeCell ref="W229:Z230"/>
    <mergeCell ref="A230:B230"/>
    <mergeCell ref="O230:P230"/>
    <mergeCell ref="Y232:AA232"/>
    <mergeCell ref="A234:N238"/>
    <mergeCell ref="O234:AB238"/>
    <mergeCell ref="A232:C232"/>
    <mergeCell ref="I232:J232"/>
    <mergeCell ref="K232:M232"/>
    <mergeCell ref="O232:Q232"/>
    <mergeCell ref="W232:X232"/>
    <mergeCell ref="A240:B240"/>
    <mergeCell ref="C240:H241"/>
    <mergeCell ref="I240:L241"/>
    <mergeCell ref="O240:P240"/>
    <mergeCell ref="Q240:V241"/>
    <mergeCell ref="W240:Z241"/>
    <mergeCell ref="A241:B241"/>
    <mergeCell ref="O241:P241"/>
    <mergeCell ref="Y243:AA243"/>
    <mergeCell ref="A245:N249"/>
    <mergeCell ref="O245:AB249"/>
    <mergeCell ref="A243:C243"/>
    <mergeCell ref="I243:J243"/>
    <mergeCell ref="K243:M243"/>
    <mergeCell ref="O243:Q243"/>
    <mergeCell ref="W243:X243"/>
    <mergeCell ref="A251:B251"/>
    <mergeCell ref="C251:H252"/>
    <mergeCell ref="I251:L252"/>
    <mergeCell ref="O251:P251"/>
    <mergeCell ref="Q251:V252"/>
    <mergeCell ref="W251:Z252"/>
    <mergeCell ref="A252:B252"/>
    <mergeCell ref="O252:P252"/>
    <mergeCell ref="Y254:AA254"/>
    <mergeCell ref="A256:N260"/>
    <mergeCell ref="O256:AB260"/>
    <mergeCell ref="A254:C254"/>
    <mergeCell ref="I254:J254"/>
    <mergeCell ref="K254:M254"/>
    <mergeCell ref="O254:Q254"/>
    <mergeCell ref="W254:X254"/>
    <mergeCell ref="A262:B262"/>
    <mergeCell ref="C262:H263"/>
    <mergeCell ref="I262:L263"/>
    <mergeCell ref="O262:P262"/>
    <mergeCell ref="Q262:V263"/>
    <mergeCell ref="W262:Z263"/>
    <mergeCell ref="A263:B263"/>
    <mergeCell ref="O263:P263"/>
    <mergeCell ref="Y265:AA265"/>
    <mergeCell ref="A267:N271"/>
    <mergeCell ref="O267:AB271"/>
    <mergeCell ref="A265:C265"/>
    <mergeCell ref="I265:J265"/>
    <mergeCell ref="K265:M265"/>
    <mergeCell ref="O265:Q265"/>
    <mergeCell ref="W265:X265"/>
    <mergeCell ref="A273:B273"/>
    <mergeCell ref="C273:H274"/>
    <mergeCell ref="I273:L274"/>
    <mergeCell ref="O273:P273"/>
    <mergeCell ref="Q273:V274"/>
    <mergeCell ref="W273:Z274"/>
    <mergeCell ref="A274:B274"/>
    <mergeCell ref="O274:P274"/>
    <mergeCell ref="Y276:AA276"/>
    <mergeCell ref="A278:N282"/>
    <mergeCell ref="O278:AB282"/>
    <mergeCell ref="A276:C276"/>
    <mergeCell ref="I276:J276"/>
    <mergeCell ref="K276:M276"/>
    <mergeCell ref="O276:Q276"/>
    <mergeCell ref="W276:X276"/>
    <mergeCell ref="A284:B284"/>
    <mergeCell ref="C284:H285"/>
    <mergeCell ref="I284:L285"/>
    <mergeCell ref="O284:P284"/>
    <mergeCell ref="Q284:V285"/>
    <mergeCell ref="W284:Z285"/>
    <mergeCell ref="A285:B285"/>
    <mergeCell ref="O285:P285"/>
    <mergeCell ref="Y287:AA287"/>
    <mergeCell ref="A289:N293"/>
    <mergeCell ref="O289:AB293"/>
    <mergeCell ref="A287:C287"/>
    <mergeCell ref="I287:J287"/>
    <mergeCell ref="K287:M287"/>
    <mergeCell ref="O287:Q287"/>
    <mergeCell ref="W287:X287"/>
    <mergeCell ref="A295:B295"/>
    <mergeCell ref="C295:H296"/>
    <mergeCell ref="I295:L296"/>
    <mergeCell ref="O295:P295"/>
    <mergeCell ref="Q295:V296"/>
    <mergeCell ref="W295:Z296"/>
    <mergeCell ref="A296:B296"/>
    <mergeCell ref="O296:P296"/>
    <mergeCell ref="Y298:AA298"/>
    <mergeCell ref="A300:N304"/>
    <mergeCell ref="O300:AB304"/>
    <mergeCell ref="A298:C298"/>
    <mergeCell ref="I298:J298"/>
    <mergeCell ref="K298:M298"/>
    <mergeCell ref="O298:Q298"/>
    <mergeCell ref="W298:X298"/>
    <mergeCell ref="A306:B306"/>
    <mergeCell ref="C306:H307"/>
    <mergeCell ref="I306:L307"/>
    <mergeCell ref="O306:P306"/>
    <mergeCell ref="Q306:V307"/>
    <mergeCell ref="W306:Z307"/>
    <mergeCell ref="A307:B307"/>
    <mergeCell ref="O307:P307"/>
    <mergeCell ref="Y309:AA309"/>
    <mergeCell ref="A311:N315"/>
    <mergeCell ref="O311:AB315"/>
    <mergeCell ref="A309:C309"/>
    <mergeCell ref="I309:J309"/>
    <mergeCell ref="K309:M309"/>
    <mergeCell ref="O309:Q309"/>
    <mergeCell ref="W309:X309"/>
    <mergeCell ref="A317:B317"/>
    <mergeCell ref="C317:H318"/>
    <mergeCell ref="I317:L318"/>
    <mergeCell ref="O317:P317"/>
    <mergeCell ref="Q317:V318"/>
    <mergeCell ref="W317:Z318"/>
    <mergeCell ref="A318:B318"/>
    <mergeCell ref="O318:P318"/>
    <mergeCell ref="Y320:AA320"/>
    <mergeCell ref="A322:N326"/>
    <mergeCell ref="O322:AB326"/>
    <mergeCell ref="A320:C320"/>
    <mergeCell ref="I320:J320"/>
    <mergeCell ref="K320:M320"/>
    <mergeCell ref="O320:Q320"/>
    <mergeCell ref="W320:X320"/>
    <mergeCell ref="A328:B328"/>
    <mergeCell ref="C328:H329"/>
    <mergeCell ref="I328:L329"/>
    <mergeCell ref="O328:P328"/>
    <mergeCell ref="Q328:V329"/>
    <mergeCell ref="W328:Z329"/>
    <mergeCell ref="A329:B329"/>
    <mergeCell ref="O329:P329"/>
    <mergeCell ref="Y331:AA331"/>
    <mergeCell ref="A333:N337"/>
    <mergeCell ref="O333:AB337"/>
    <mergeCell ref="A331:C331"/>
    <mergeCell ref="I331:J331"/>
    <mergeCell ref="K331:M331"/>
    <mergeCell ref="O331:Q331"/>
    <mergeCell ref="W331:X331"/>
    <mergeCell ref="A339:B339"/>
    <mergeCell ref="C339:H340"/>
    <mergeCell ref="I339:L340"/>
    <mergeCell ref="O339:P339"/>
    <mergeCell ref="Q339:V340"/>
    <mergeCell ref="W339:Z340"/>
    <mergeCell ref="A340:B340"/>
    <mergeCell ref="O340:P340"/>
    <mergeCell ref="Y342:AA342"/>
    <mergeCell ref="A344:N348"/>
    <mergeCell ref="O344:AB348"/>
    <mergeCell ref="A342:C342"/>
    <mergeCell ref="I342:J342"/>
    <mergeCell ref="K342:M342"/>
    <mergeCell ref="O342:Q342"/>
    <mergeCell ref="W342:X342"/>
    <mergeCell ref="A350:B350"/>
    <mergeCell ref="C350:H351"/>
    <mergeCell ref="I350:L351"/>
    <mergeCell ref="O350:P350"/>
    <mergeCell ref="Q350:V351"/>
    <mergeCell ref="W350:Z351"/>
    <mergeCell ref="A351:B351"/>
    <mergeCell ref="O351:P351"/>
    <mergeCell ref="Y353:AA353"/>
    <mergeCell ref="A355:N359"/>
    <mergeCell ref="O355:AB359"/>
    <mergeCell ref="A353:C353"/>
    <mergeCell ref="I353:J353"/>
    <mergeCell ref="K353:M353"/>
    <mergeCell ref="O353:Q353"/>
    <mergeCell ref="W353:X353"/>
    <mergeCell ref="A361:B361"/>
    <mergeCell ref="C361:H362"/>
    <mergeCell ref="I361:L362"/>
    <mergeCell ref="O361:P361"/>
    <mergeCell ref="Q361:V362"/>
    <mergeCell ref="W361:Z362"/>
    <mergeCell ref="A362:B362"/>
    <mergeCell ref="O362:P362"/>
    <mergeCell ref="Y364:AA364"/>
    <mergeCell ref="A366:N370"/>
    <mergeCell ref="O366:AB370"/>
    <mergeCell ref="A364:C364"/>
    <mergeCell ref="I364:J364"/>
    <mergeCell ref="K364:M364"/>
    <mergeCell ref="O364:Q364"/>
    <mergeCell ref="W364:X364"/>
    <mergeCell ref="A372:B372"/>
    <mergeCell ref="C372:H373"/>
    <mergeCell ref="I372:L373"/>
    <mergeCell ref="O372:P372"/>
    <mergeCell ref="Q372:V373"/>
    <mergeCell ref="W372:Z373"/>
    <mergeCell ref="A373:B373"/>
    <mergeCell ref="O373:P373"/>
    <mergeCell ref="Y375:AA375"/>
    <mergeCell ref="A377:N381"/>
    <mergeCell ref="O377:AB381"/>
    <mergeCell ref="A375:C375"/>
    <mergeCell ref="I375:J375"/>
    <mergeCell ref="K375:M375"/>
    <mergeCell ref="O375:Q375"/>
    <mergeCell ref="W375:X375"/>
    <mergeCell ref="A383:B383"/>
    <mergeCell ref="C383:H384"/>
    <mergeCell ref="I383:L384"/>
    <mergeCell ref="O383:P383"/>
    <mergeCell ref="Q383:V384"/>
    <mergeCell ref="W383:Z384"/>
    <mergeCell ref="A384:B384"/>
    <mergeCell ref="O384:P384"/>
    <mergeCell ref="Y386:AA386"/>
    <mergeCell ref="A388:N392"/>
    <mergeCell ref="O388:AB392"/>
    <mergeCell ref="A386:C386"/>
    <mergeCell ref="I386:J386"/>
    <mergeCell ref="K386:M386"/>
    <mergeCell ref="O386:Q386"/>
    <mergeCell ref="W386:X386"/>
    <mergeCell ref="A394:B394"/>
    <mergeCell ref="C394:H395"/>
    <mergeCell ref="I394:L395"/>
    <mergeCell ref="O394:P394"/>
    <mergeCell ref="Q394:V395"/>
    <mergeCell ref="W394:Z395"/>
    <mergeCell ref="A395:B395"/>
    <mergeCell ref="O395:P395"/>
    <mergeCell ref="Y397:AA397"/>
    <mergeCell ref="A399:N403"/>
    <mergeCell ref="O399:AB403"/>
    <mergeCell ref="A397:C397"/>
    <mergeCell ref="I397:J397"/>
    <mergeCell ref="K397:M397"/>
    <mergeCell ref="O397:Q397"/>
    <mergeCell ref="W397:X397"/>
    <mergeCell ref="A405:B405"/>
    <mergeCell ref="C405:H406"/>
    <mergeCell ref="I405:L406"/>
    <mergeCell ref="O405:P405"/>
    <mergeCell ref="Q405:V406"/>
    <mergeCell ref="W405:Z406"/>
    <mergeCell ref="A406:B406"/>
    <mergeCell ref="O406:P406"/>
    <mergeCell ref="Y408:AA408"/>
    <mergeCell ref="A410:N414"/>
    <mergeCell ref="O410:AB414"/>
    <mergeCell ref="A408:C408"/>
    <mergeCell ref="I408:J408"/>
    <mergeCell ref="K408:M408"/>
    <mergeCell ref="O408:Q408"/>
    <mergeCell ref="W408:X408"/>
    <mergeCell ref="A416:B416"/>
    <mergeCell ref="C416:H417"/>
    <mergeCell ref="I416:L417"/>
    <mergeCell ref="O416:P416"/>
    <mergeCell ref="Q416:V417"/>
    <mergeCell ref="W416:Z417"/>
    <mergeCell ref="A417:B417"/>
    <mergeCell ref="O417:P417"/>
    <mergeCell ref="Y419:AA419"/>
    <mergeCell ref="A421:N425"/>
    <mergeCell ref="O421:AB425"/>
    <mergeCell ref="A419:C419"/>
    <mergeCell ref="I419:J419"/>
    <mergeCell ref="K419:M419"/>
    <mergeCell ref="O419:Q419"/>
    <mergeCell ref="W419:X419"/>
    <mergeCell ref="A427:B427"/>
    <mergeCell ref="C427:H428"/>
    <mergeCell ref="I427:L428"/>
    <mergeCell ref="O427:P427"/>
    <mergeCell ref="Q427:V428"/>
    <mergeCell ref="W427:Z428"/>
    <mergeCell ref="A428:B428"/>
    <mergeCell ref="O428:P428"/>
    <mergeCell ref="Y430:AA430"/>
    <mergeCell ref="A432:N436"/>
    <mergeCell ref="O432:AB436"/>
    <mergeCell ref="A430:C430"/>
    <mergeCell ref="I430:J430"/>
    <mergeCell ref="K430:M430"/>
    <mergeCell ref="O430:Q430"/>
    <mergeCell ref="W430:X430"/>
    <mergeCell ref="A438:B438"/>
    <mergeCell ref="C438:H439"/>
    <mergeCell ref="I438:L439"/>
    <mergeCell ref="O438:P438"/>
    <mergeCell ref="Q438:V439"/>
    <mergeCell ref="W438:Z439"/>
    <mergeCell ref="A439:B439"/>
    <mergeCell ref="O439:P439"/>
    <mergeCell ref="Y441:AA441"/>
    <mergeCell ref="A443:N447"/>
    <mergeCell ref="O443:AB447"/>
    <mergeCell ref="A441:C441"/>
    <mergeCell ref="I441:J441"/>
    <mergeCell ref="K441:M441"/>
    <mergeCell ref="O441:Q441"/>
    <mergeCell ref="W441:X441"/>
    <mergeCell ref="A449:B449"/>
    <mergeCell ref="C449:H450"/>
    <mergeCell ref="I449:L450"/>
    <mergeCell ref="O449:P449"/>
    <mergeCell ref="Q449:V450"/>
    <mergeCell ref="W449:Z450"/>
    <mergeCell ref="A450:B450"/>
    <mergeCell ref="O450:P450"/>
    <mergeCell ref="Y452:AA452"/>
    <mergeCell ref="A454:N458"/>
    <mergeCell ref="O454:AB458"/>
    <mergeCell ref="A452:C452"/>
    <mergeCell ref="I452:J452"/>
    <mergeCell ref="K452:M452"/>
    <mergeCell ref="O452:Q452"/>
    <mergeCell ref="W452:X452"/>
    <mergeCell ref="A460:B460"/>
    <mergeCell ref="C460:H461"/>
    <mergeCell ref="I460:L461"/>
    <mergeCell ref="O460:P460"/>
    <mergeCell ref="Q460:V461"/>
    <mergeCell ref="W460:Z461"/>
    <mergeCell ref="A461:B461"/>
    <mergeCell ref="O461:P461"/>
    <mergeCell ref="Y463:AA463"/>
    <mergeCell ref="A465:N469"/>
    <mergeCell ref="O465:AB469"/>
    <mergeCell ref="A463:C463"/>
    <mergeCell ref="I463:J463"/>
    <mergeCell ref="K463:M463"/>
    <mergeCell ref="O463:Q463"/>
    <mergeCell ref="W463:X463"/>
    <mergeCell ref="A471:B471"/>
    <mergeCell ref="C471:H472"/>
    <mergeCell ref="I471:L472"/>
    <mergeCell ref="O471:P471"/>
    <mergeCell ref="Q471:V472"/>
    <mergeCell ref="W471:Z472"/>
    <mergeCell ref="A472:B472"/>
    <mergeCell ref="O472:P472"/>
    <mergeCell ref="Y474:AA474"/>
    <mergeCell ref="A476:N480"/>
    <mergeCell ref="O476:AB480"/>
    <mergeCell ref="A474:C474"/>
    <mergeCell ref="I474:J474"/>
    <mergeCell ref="K474:M474"/>
    <mergeCell ref="O474:Q474"/>
    <mergeCell ref="W474:X474"/>
    <mergeCell ref="A482:B482"/>
    <mergeCell ref="C482:H483"/>
    <mergeCell ref="I482:L483"/>
    <mergeCell ref="O482:P482"/>
    <mergeCell ref="Q482:V483"/>
    <mergeCell ref="W482:Z483"/>
    <mergeCell ref="A483:B483"/>
    <mergeCell ref="O483:P483"/>
    <mergeCell ref="Y485:AA485"/>
    <mergeCell ref="A487:N491"/>
    <mergeCell ref="O487:AB491"/>
    <mergeCell ref="A485:C485"/>
    <mergeCell ref="I485:J485"/>
    <mergeCell ref="K485:M485"/>
    <mergeCell ref="O485:Q485"/>
    <mergeCell ref="W485:X485"/>
    <mergeCell ref="A493:B493"/>
    <mergeCell ref="C493:H494"/>
    <mergeCell ref="I493:L494"/>
    <mergeCell ref="O493:P493"/>
    <mergeCell ref="Q493:V494"/>
    <mergeCell ref="W493:Z494"/>
    <mergeCell ref="A494:B494"/>
    <mergeCell ref="O494:P494"/>
    <mergeCell ref="Y496:AA496"/>
    <mergeCell ref="A498:N502"/>
    <mergeCell ref="O498:AB502"/>
    <mergeCell ref="A496:C496"/>
    <mergeCell ref="I496:J496"/>
    <mergeCell ref="K496:M496"/>
    <mergeCell ref="O496:Q496"/>
    <mergeCell ref="W496:X496"/>
    <mergeCell ref="A504:B504"/>
    <mergeCell ref="C504:H505"/>
    <mergeCell ref="I504:L505"/>
    <mergeCell ref="O504:P504"/>
    <mergeCell ref="Q504:V505"/>
    <mergeCell ref="W504:Z505"/>
    <mergeCell ref="A505:B505"/>
    <mergeCell ref="O505:P505"/>
    <mergeCell ref="Y507:AA507"/>
    <mergeCell ref="A509:N513"/>
    <mergeCell ref="O509:AB513"/>
    <mergeCell ref="A507:C507"/>
    <mergeCell ref="I507:J507"/>
    <mergeCell ref="K507:M507"/>
    <mergeCell ref="O507:Q507"/>
    <mergeCell ref="W507:X507"/>
    <mergeCell ref="A515:B515"/>
    <mergeCell ref="C515:H516"/>
    <mergeCell ref="I515:L516"/>
    <mergeCell ref="O515:P515"/>
    <mergeCell ref="Q515:V516"/>
    <mergeCell ref="W515:Z516"/>
    <mergeCell ref="A516:B516"/>
    <mergeCell ref="O516:P516"/>
    <mergeCell ref="Y518:AA518"/>
    <mergeCell ref="A520:N524"/>
    <mergeCell ref="O520:AB524"/>
    <mergeCell ref="A518:C518"/>
    <mergeCell ref="I518:J518"/>
    <mergeCell ref="K518:M518"/>
    <mergeCell ref="O518:Q518"/>
    <mergeCell ref="W518:X518"/>
    <mergeCell ref="A526:B526"/>
    <mergeCell ref="C526:H527"/>
    <mergeCell ref="I526:L527"/>
    <mergeCell ref="O526:P526"/>
    <mergeCell ref="Q526:V527"/>
    <mergeCell ref="W526:Z527"/>
    <mergeCell ref="A527:B527"/>
    <mergeCell ref="O527:P527"/>
    <mergeCell ref="Y529:AA529"/>
    <mergeCell ref="A531:N535"/>
    <mergeCell ref="O531:AB535"/>
    <mergeCell ref="A529:C529"/>
    <mergeCell ref="I529:J529"/>
    <mergeCell ref="K529:M529"/>
    <mergeCell ref="O529:Q529"/>
    <mergeCell ref="W529:X529"/>
    <mergeCell ref="A537:B537"/>
    <mergeCell ref="C537:H538"/>
    <mergeCell ref="I537:L538"/>
    <mergeCell ref="O537:P537"/>
    <mergeCell ref="Q537:V538"/>
    <mergeCell ref="W537:Z538"/>
    <mergeCell ref="A538:B538"/>
    <mergeCell ref="O538:P538"/>
    <mergeCell ref="Y540:AA540"/>
    <mergeCell ref="A542:N546"/>
    <mergeCell ref="O542:AB546"/>
    <mergeCell ref="A540:C540"/>
    <mergeCell ref="I540:J540"/>
    <mergeCell ref="K540:M540"/>
    <mergeCell ref="O540:Q540"/>
    <mergeCell ref="W540:X540"/>
    <mergeCell ref="A548:B548"/>
    <mergeCell ref="C548:H549"/>
    <mergeCell ref="I548:L549"/>
    <mergeCell ref="O548:P548"/>
    <mergeCell ref="Q548:V549"/>
    <mergeCell ref="W548:Z549"/>
    <mergeCell ref="A549:B549"/>
    <mergeCell ref="O549:P549"/>
  </mergeCells>
  <pageMargins left="0.23622047244094491" right="0.23622047244094491" top="0.15748031496062992" bottom="0.15748031496062992" header="0.31496062992125984" footer="0.31496062992125984"/>
  <pageSetup paperSize="9" orientation="portrait" r:id="rId1"/>
  <rowBreaks count="9" manualBreakCount="9">
    <brk id="55" max="16383" man="1"/>
    <brk id="110" max="16383" man="1"/>
    <brk id="165" max="16383" man="1"/>
    <brk id="220" max="16383" man="1"/>
    <brk id="275" max="16383" man="1"/>
    <brk id="330" max="16383" man="1"/>
    <brk id="385" max="16383" man="1"/>
    <brk id="440" max="16383" man="1"/>
    <brk id="495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Air</cp:lastModifiedBy>
  <cp:lastPrinted>2017-07-29T13:03:17Z</cp:lastPrinted>
  <dcterms:created xsi:type="dcterms:W3CDTF">2006-09-16T00:00:00Z</dcterms:created>
  <dcterms:modified xsi:type="dcterms:W3CDTF">2017-07-29T19:44:07Z</dcterms:modified>
</cp:coreProperties>
</file>